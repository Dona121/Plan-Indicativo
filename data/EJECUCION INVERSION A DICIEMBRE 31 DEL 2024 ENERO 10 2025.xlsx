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epartamentodesucre.sharepoint.com/sites/PortafoliodeProyectosySeguimientoaMetas/Documentos compartidos/Portafolio Maestro/Seguimiento Plan de Desarrollo/Informes Financieros/"/>
    </mc:Choice>
  </mc:AlternateContent>
  <xr:revisionPtr revIDLastSave="492" documentId="13_ncr:1_{A8F15CFA-CD5F-43B8-A75F-28CE37FBB727}" xr6:coauthVersionLast="47" xr6:coauthVersionMax="47" xr10:uidLastSave="{07990222-9ED4-46DA-9CDA-815B4A364E85}"/>
  <bookViews>
    <workbookView xWindow="-108" yWindow="-108" windowWidth="23256" windowHeight="12456" xr2:uid="{874DB979-3333-4A5C-93E7-63727D63922D}"/>
  </bookViews>
  <sheets>
    <sheet name="Haciend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81" i="1" l="1"/>
  <c r="P381" i="1"/>
  <c r="AF5" i="1"/>
  <c r="AF6" i="1"/>
  <c r="AF7" i="1"/>
  <c r="AF8" i="1"/>
  <c r="AF9" i="1"/>
  <c r="AF10" i="1"/>
  <c r="AF11" i="1"/>
  <c r="AF12" i="1"/>
  <c r="AF13"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4"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79"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5" i="1"/>
  <c r="AF226"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Q382" i="1"/>
  <c r="AH69"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6F248B-4765-46F0-8929-A8E3E0989154}" name="estado_ppto_gasto_gobatl_fyccw" type="4" refreshedVersion="0" background="1">
    <webPr xml="1" sourceData="1" url="C:\Users\PC63-2024\Downloads\estado_ppto_gasto_gobatl_fyccw.xls" htmlTables="1" htmlFormat="all"/>
  </connection>
</connections>
</file>

<file path=xl/sharedStrings.xml><?xml version="1.0" encoding="utf-8"?>
<sst xmlns="http://schemas.openxmlformats.org/spreadsheetml/2006/main" count="5037" uniqueCount="919">
  <si>
    <t>RUBRO</t>
  </si>
  <si>
    <t>NOMBRE_RUBRO</t>
  </si>
  <si>
    <t>RECURSO</t>
  </si>
  <si>
    <t>NOMBRE_RECURSO</t>
  </si>
  <si>
    <t>CENTROCOSTO</t>
  </si>
  <si>
    <t>NOMBRE_CENTROCOSTO</t>
  </si>
  <si>
    <t>PROYECTO</t>
  </si>
  <si>
    <t>APROPIACION_INICIAL</t>
  </si>
  <si>
    <t>ADICION</t>
  </si>
  <si>
    <t>DISMINUCION</t>
  </si>
  <si>
    <t>CREDITO</t>
  </si>
  <si>
    <t>CONTRACREDITO</t>
  </si>
  <si>
    <t>APROPIACION_DEFINITIVA</t>
  </si>
  <si>
    <t>SOLICITUD_TRAMITE</t>
  </si>
  <si>
    <t>CDP</t>
  </si>
  <si>
    <t>RP</t>
  </si>
  <si>
    <t>OBLIGACION</t>
  </si>
  <si>
    <t>PAGO</t>
  </si>
  <si>
    <t>DISPONIBLE</t>
  </si>
  <si>
    <t>2</t>
  </si>
  <si>
    <t>2.3</t>
  </si>
  <si>
    <t>2.3.1</t>
  </si>
  <si>
    <t>2.3.1.01</t>
  </si>
  <si>
    <t>2.3.1.01.01</t>
  </si>
  <si>
    <t>2.3.1.01.01.001</t>
  </si>
  <si>
    <t>2.3.1.01.01.001.01</t>
  </si>
  <si>
    <t>2.3.1.01.01.001.02</t>
  </si>
  <si>
    <t>2.3.1.01.01.001.04</t>
  </si>
  <si>
    <t>2.3.1.01.01.001.05</t>
  </si>
  <si>
    <t>2.3.1.01.01.001.06</t>
  </si>
  <si>
    <t>2.3.1.01.01.001.07</t>
  </si>
  <si>
    <t>2.3.1.01.01.001.08</t>
  </si>
  <si>
    <t>2.3.1.01.01.001.08.01</t>
  </si>
  <si>
    <t>2.3.1.01.01.001.08.02</t>
  </si>
  <si>
    <t>2.3.1.01.01.001.10</t>
  </si>
  <si>
    <t>2.3.1.01.01.002</t>
  </si>
  <si>
    <t>2.3.1.01.01.002.31</t>
  </si>
  <si>
    <t>2.3.1.01.01.002.32</t>
  </si>
  <si>
    <t>2.3.1.01.02</t>
  </si>
  <si>
    <t>2.3.1.01.02.001</t>
  </si>
  <si>
    <t>2.3.1.01.02.002</t>
  </si>
  <si>
    <t>2.3.1.01.02.003</t>
  </si>
  <si>
    <t>2.3.1.01.02.004</t>
  </si>
  <si>
    <t>2.3.1.01.02.005</t>
  </si>
  <si>
    <t>2.3.1.01.02.006</t>
  </si>
  <si>
    <t>2.3.1.01.02.007</t>
  </si>
  <si>
    <t>2.3.1.01.02.008</t>
  </si>
  <si>
    <t>2.3.1.01.02.009</t>
  </si>
  <si>
    <t>2.3.1.01.03</t>
  </si>
  <si>
    <t>2.3.1.01.03.001</t>
  </si>
  <si>
    <t>2.3.1.01.03.001.03</t>
  </si>
  <si>
    <t>2.3.1.01.03.009</t>
  </si>
  <si>
    <t>2.3.1.01.03.083</t>
  </si>
  <si>
    <t>2.3.1.01.03.096</t>
  </si>
  <si>
    <t>2.3.1.01.03.097</t>
  </si>
  <si>
    <t>2.3.2</t>
  </si>
  <si>
    <t>2.3.2.01</t>
  </si>
  <si>
    <t>2.3.2.01.01</t>
  </si>
  <si>
    <t>2.3.2.01.01.001</t>
  </si>
  <si>
    <t>2.3.2.01.01.001.01</t>
  </si>
  <si>
    <t>2.3.2.01.01.001.01.01</t>
  </si>
  <si>
    <t>2.3.2.01.01.001.01.08</t>
  </si>
  <si>
    <t>2.3.2.01.01.001.02</t>
  </si>
  <si>
    <t>2.3.2.01.01.001.02.07</t>
  </si>
  <si>
    <t>2.3.2.01.01.001.02.08</t>
  </si>
  <si>
    <t>2.3.2.01.01.001.02.14</t>
  </si>
  <si>
    <t>2.3.2.01.01.001.03</t>
  </si>
  <si>
    <t>2.3.2.01.01.001.03.02</t>
  </si>
  <si>
    <t>2.3.2.01.01.001.03.13</t>
  </si>
  <si>
    <t>2.3.2.01.01.001.03.19</t>
  </si>
  <si>
    <t>2.3.2.01.01.003</t>
  </si>
  <si>
    <t>2.3.2.01.01.003.02</t>
  </si>
  <si>
    <t>2.3.2.01.01.003.02.08</t>
  </si>
  <si>
    <t>2.3.2.01.01.003.03</t>
  </si>
  <si>
    <t>2.3.2.01.01.003.03.02</t>
  </si>
  <si>
    <t>2.3.2.01.01.003.05</t>
  </si>
  <si>
    <t>2.3.2.01.01.003.05.02</t>
  </si>
  <si>
    <t>2.3.2.01.01.003.05.03</t>
  </si>
  <si>
    <t>2.3.2.01.01.003.07</t>
  </si>
  <si>
    <t>2.3.2.01.01.003.07.01</t>
  </si>
  <si>
    <t>2.3.2.01.01.003.07.03</t>
  </si>
  <si>
    <t>2.3.2.01.01.004</t>
  </si>
  <si>
    <t>2.3.2.01.01.004.01</t>
  </si>
  <si>
    <t>2.3.2.01.01.004.01.01</t>
  </si>
  <si>
    <t>2.3.2.01.01.004.01.01.02</t>
  </si>
  <si>
    <t>2.3.2.01.01.005</t>
  </si>
  <si>
    <t>2.3.2.01.01.005.02</t>
  </si>
  <si>
    <t>2.3.2.01.01.005.02.03</t>
  </si>
  <si>
    <t>2.3.2.01.01.005.02.03.01</t>
  </si>
  <si>
    <t>2.3.2.01.01.005.02.03.01.01</t>
  </si>
  <si>
    <t>2.3.2.01.03</t>
  </si>
  <si>
    <t>2.3.2.01.03.001</t>
  </si>
  <si>
    <t>2.3.2.02</t>
  </si>
  <si>
    <t>2.3.2.02.01</t>
  </si>
  <si>
    <t>2.3.2.02.01.002</t>
  </si>
  <si>
    <t>2.3.2.02.01.003</t>
  </si>
  <si>
    <t>2.3.2.02.02</t>
  </si>
  <si>
    <t>2.3.2.02.02.006</t>
  </si>
  <si>
    <t>2.3.2.02.02.008</t>
  </si>
  <si>
    <t>2.3.2.02.02.009</t>
  </si>
  <si>
    <t>2.3.3</t>
  </si>
  <si>
    <t>2.3.3.01</t>
  </si>
  <si>
    <t>2.3.3.01.02</t>
  </si>
  <si>
    <t>2.3.3.01.02.005</t>
  </si>
  <si>
    <t>2.3.3.02</t>
  </si>
  <si>
    <t>2.3.3.02.01</t>
  </si>
  <si>
    <t>2.3.3.02.01.004</t>
  </si>
  <si>
    <t>2.3.3.05</t>
  </si>
  <si>
    <t>2.3.3.05.09</t>
  </si>
  <si>
    <t>2.3.3.05.09.053</t>
  </si>
  <si>
    <t>2.3.3.05.09.054</t>
  </si>
  <si>
    <t>2.3.4</t>
  </si>
  <si>
    <t>2.3.4.04</t>
  </si>
  <si>
    <t>2.3.5</t>
  </si>
  <si>
    <t>2.3.5.02</t>
  </si>
  <si>
    <t>2.3.5.02.08</t>
  </si>
  <si>
    <t>2.3.7</t>
  </si>
  <si>
    <t>2.3.7.05</t>
  </si>
  <si>
    <t>2.3.7.05.03</t>
  </si>
  <si>
    <t>Gastos de personal</t>
  </si>
  <si>
    <t>Planta de personal permanente</t>
  </si>
  <si>
    <t>Factores constitutivos de salario</t>
  </si>
  <si>
    <t>Factores salariales comunes</t>
  </si>
  <si>
    <t>Sueldo básico</t>
  </si>
  <si>
    <t>Horas extras, dominicales, festivos y recargos</t>
  </si>
  <si>
    <t>Subsidio de alimentación</t>
  </si>
  <si>
    <t>Auxilio de transporte</t>
  </si>
  <si>
    <t>Prima de servicio</t>
  </si>
  <si>
    <t>Bonificación por servicios prestados</t>
  </si>
  <si>
    <t>Prestaciones sociales</t>
  </si>
  <si>
    <t>Prima de navidad</t>
  </si>
  <si>
    <t>Prima de vacaciones</t>
  </si>
  <si>
    <t>Contribuciones inherentes a la nómina</t>
  </si>
  <si>
    <t>Aportes a la seguridad social en pensiones</t>
  </si>
  <si>
    <t>Aportes a la seguridad social en salud</t>
  </si>
  <si>
    <t>Aportes de cesantías</t>
  </si>
  <si>
    <t>Aportes a cajas de compensación familiar</t>
  </si>
  <si>
    <t>Aportes generales al sistema de riesgos laborales</t>
  </si>
  <si>
    <t>Aportes al ICBF</t>
  </si>
  <si>
    <t>Aportes al SENA</t>
  </si>
  <si>
    <t>Aportes a la ESAP</t>
  </si>
  <si>
    <t>Aportes a escuelas industriales e institutos técnicos</t>
  </si>
  <si>
    <t>Remuneraciones no constitutivas de factor salarial</t>
  </si>
  <si>
    <t>Bonificación especial de recreación</t>
  </si>
  <si>
    <t>Adquisición de bienes y servicios</t>
  </si>
  <si>
    <t>Adquisición de activos no financieros</t>
  </si>
  <si>
    <t>Activos fijos</t>
  </si>
  <si>
    <t>Maquinaria y equipo</t>
  </si>
  <si>
    <t>Maquinaria de oficina, contabilidad e informática</t>
  </si>
  <si>
    <t>Maquinaria de informática y sus partes, piezas y accesorios</t>
  </si>
  <si>
    <t>Equipo y aparatos de radio, televisión y comunicaciones</t>
  </si>
  <si>
    <t>Aparatos transmisores de televisión y radio; televisión, video y cámaras digitales; teléfonos</t>
  </si>
  <si>
    <t>Equipo de transporte</t>
  </si>
  <si>
    <t>Vehículos automotores, remolques y semirremolques; y sus partes, piezas y accesorios</t>
  </si>
  <si>
    <t>Activos fijos no clasificados como maquinaria y equipo</t>
  </si>
  <si>
    <t>Muebles, instrumentos musicales, artículos de deporte y antigüedades</t>
  </si>
  <si>
    <t>Muebles</t>
  </si>
  <si>
    <t>Muebles del tipo utilizado en la oficina</t>
  </si>
  <si>
    <t>Adquisiciones diferentes de activos</t>
  </si>
  <si>
    <t>Materiales y suministros</t>
  </si>
  <si>
    <t>Productos alimenticios, bebidas y tabaco; textiles, prendas de vestir y productos de cuero</t>
  </si>
  <si>
    <t>Otros bienes transportables (excepto productos metálicos, maquinaria y equipo)</t>
  </si>
  <si>
    <t>Adquisición de servicios</t>
  </si>
  <si>
    <t>Servicios de alojamiento; servicios de suministro de comidas y bebidas; servicios de transporte; y servicios de distribución de electricidad, gas y agua</t>
  </si>
  <si>
    <t>Servicios prestados a las empresas y servicios de producción</t>
  </si>
  <si>
    <t>Servicios para la comunidad, sociales y personales</t>
  </si>
  <si>
    <t>Viáticos de los funcionarios en comisión</t>
  </si>
  <si>
    <t>Transferencias corrientes</t>
  </si>
  <si>
    <t>A entidades del gobierno</t>
  </si>
  <si>
    <t>A otras entidades del gobierno general</t>
  </si>
  <si>
    <t>Transferencias de capital</t>
  </si>
  <si>
    <t>Inversión</t>
  </si>
  <si>
    <t>Factores salariales especiales</t>
  </si>
  <si>
    <t>Bonificación Pedagógica Docentes Prescolar, Básica y Media</t>
  </si>
  <si>
    <t>Sobresueldo docentes y directivos docentes Prescolar, Básica y Media</t>
  </si>
  <si>
    <t>Prima técnica no salarial</t>
  </si>
  <si>
    <t>Auxilio de movilización</t>
  </si>
  <si>
    <t>Bonificación Zona de Difícil Acceso docentes Prescolar, Básica y Media</t>
  </si>
  <si>
    <t>Bonificación Grado 14 docentes Prescolar, Básica y Media</t>
  </si>
  <si>
    <t>Edificaciones y estructuras</t>
  </si>
  <si>
    <t>Viviendas</t>
  </si>
  <si>
    <t>Edificios utilizados para residencia</t>
  </si>
  <si>
    <t>Construcciones prefabricadas</t>
  </si>
  <si>
    <t>Edificaciones distintas a viviendas</t>
  </si>
  <si>
    <t>Edificios educativos</t>
  </si>
  <si>
    <t>Edificios relacionados con salud</t>
  </si>
  <si>
    <t>Otros edificios no residenciales</t>
  </si>
  <si>
    <t>Otras estructuras</t>
  </si>
  <si>
    <t>Autopistas, carreteras, calles</t>
  </si>
  <si>
    <t>Obras para la comunicación de larga distancia y las líneas eléctricas (cables)</t>
  </si>
  <si>
    <t>Otras obras de ingeniería civil</t>
  </si>
  <si>
    <t>Maquinaria para usos especiales</t>
  </si>
  <si>
    <t>Otra maquinaria para usos especiales y sus partes y piezas</t>
  </si>
  <si>
    <t>RADIORRECEPTORES Y RECEPTORES DE TELEVISION APARATOS PARA LA GRABACION Y REPRODUCCION DE SONIDO Y VIDEO, MICROFONOS, ALTAVOCES, AMPLIFICADORES, ETC</t>
  </si>
  <si>
    <t>Buques</t>
  </si>
  <si>
    <t>Otros activos fijos</t>
  </si>
  <si>
    <t>Productos de la propiedad intelectual</t>
  </si>
  <si>
    <t>Programas de informática y bases de datos</t>
  </si>
  <si>
    <t>Programas de informática</t>
  </si>
  <si>
    <t>Paquetes de software</t>
  </si>
  <si>
    <t>Activos no producidos</t>
  </si>
  <si>
    <t>Tierras y terrenos</t>
  </si>
  <si>
    <t>Subvenciones</t>
  </si>
  <si>
    <t>A empresas públicas no financieras</t>
  </si>
  <si>
    <t>Transferencias para Empresas Sociales del Estado</t>
  </si>
  <si>
    <t>A empresas diferente de subvenciones</t>
  </si>
  <si>
    <t>Actividades de atención a la salud humana y de asistencia social</t>
  </si>
  <si>
    <t>Financiación de beneficiarios del régimen subsidiado en salud. Art 10 ley 1122 de 2007</t>
  </si>
  <si>
    <t>Fondos de Servicios Educativos de las Instituciones de Preescolar, Básica y Media</t>
  </si>
  <si>
    <t>A establecimientos públicos y unidades administrativas especiales</t>
  </si>
  <si>
    <t>Para la adquisición de activos no financieros</t>
  </si>
  <si>
    <t>Gastos de comercialización y producción</t>
  </si>
  <si>
    <t>Disminución de pasivos</t>
  </si>
  <si>
    <t>Programas de saneamiento fiscal y financiero</t>
  </si>
  <si>
    <t>Pago de déficit fiscal, de pasivo laboral y prestacional en programas de saneamiento fiscal y financiero</t>
  </si>
  <si>
    <t>1</t>
  </si>
  <si>
    <t>94</t>
  </si>
  <si>
    <t>113</t>
  </si>
  <si>
    <t>17</t>
  </si>
  <si>
    <t>52</t>
  </si>
  <si>
    <t>76</t>
  </si>
  <si>
    <t>112</t>
  </si>
  <si>
    <t>114</t>
  </si>
  <si>
    <t>61</t>
  </si>
  <si>
    <t>3</t>
  </si>
  <si>
    <t>43</t>
  </si>
  <si>
    <t>84</t>
  </si>
  <si>
    <t>116</t>
  </si>
  <si>
    <t>82</t>
  </si>
  <si>
    <t>24</t>
  </si>
  <si>
    <t>44</t>
  </si>
  <si>
    <t>97</t>
  </si>
  <si>
    <t>120</t>
  </si>
  <si>
    <t>7</t>
  </si>
  <si>
    <t>4</t>
  </si>
  <si>
    <t>100</t>
  </si>
  <si>
    <t>122</t>
  </si>
  <si>
    <t>99</t>
  </si>
  <si>
    <t>6</t>
  </si>
  <si>
    <t>54</t>
  </si>
  <si>
    <t>63</t>
  </si>
  <si>
    <t>35</t>
  </si>
  <si>
    <t>124</t>
  </si>
  <si>
    <t>125</t>
  </si>
  <si>
    <t>19</t>
  </si>
  <si>
    <t>59</t>
  </si>
  <si>
    <t>60</t>
  </si>
  <si>
    <t>72</t>
  </si>
  <si>
    <t>41</t>
  </si>
  <si>
    <t>8</t>
  </si>
  <si>
    <t>64</t>
  </si>
  <si>
    <t>9</t>
  </si>
  <si>
    <t>36</t>
  </si>
  <si>
    <t>37</t>
  </si>
  <si>
    <t>38</t>
  </si>
  <si>
    <t>42</t>
  </si>
  <si>
    <t>70</t>
  </si>
  <si>
    <t>71</t>
  </si>
  <si>
    <t>96</t>
  </si>
  <si>
    <t>111</t>
  </si>
  <si>
    <t>115</t>
  </si>
  <si>
    <t>121</t>
  </si>
  <si>
    <t>123</t>
  </si>
  <si>
    <t>10</t>
  </si>
  <si>
    <t>103</t>
  </si>
  <si>
    <t>79</t>
  </si>
  <si>
    <t>80</t>
  </si>
  <si>
    <t>81</t>
  </si>
  <si>
    <t>5</t>
  </si>
  <si>
    <t>11</t>
  </si>
  <si>
    <t>22</t>
  </si>
  <si>
    <t>55</t>
  </si>
  <si>
    <t>56</t>
  </si>
  <si>
    <t>57</t>
  </si>
  <si>
    <t>58</t>
  </si>
  <si>
    <t>66</t>
  </si>
  <si>
    <t>67</t>
  </si>
  <si>
    <t>68</t>
  </si>
  <si>
    <t>69</t>
  </si>
  <si>
    <t>89</t>
  </si>
  <si>
    <t>90</t>
  </si>
  <si>
    <t>91</t>
  </si>
  <si>
    <t>98</t>
  </si>
  <si>
    <t>102</t>
  </si>
  <si>
    <t>105</t>
  </si>
  <si>
    <t>106</t>
  </si>
  <si>
    <t>107</t>
  </si>
  <si>
    <t>108</t>
  </si>
  <si>
    <t>109</t>
  </si>
  <si>
    <t>110</t>
  </si>
  <si>
    <t>65</t>
  </si>
  <si>
    <t>1.2.1.0.00 - INGRESOS CORRIENTES DE LIBRE DESTINACION</t>
  </si>
  <si>
    <t>1.2.2.0.00- RENTAS CEDIDAS</t>
  </si>
  <si>
    <t>1.3.3.3.20-R.B. SALUD EVALUACION SANITARIA</t>
  </si>
  <si>
    <t>1.3.3.1.00-RECURSOS DEL BALANCE DE LIBRE DESTINACION</t>
  </si>
  <si>
    <t>1.3.2.3.11-OTROS RENDIMIENTOS FINANCIEROS ICLD</t>
  </si>
  <si>
    <t>1.3.2.3.11-R.B. FONDO ROTATORIO</t>
  </si>
  <si>
    <t>1.3.3.3.20-R.B. OTROS GASTOS RETHUS</t>
  </si>
  <si>
    <t>1.3.3.2.00-R.B RENTAS CEDIDAS</t>
  </si>
  <si>
    <t>1.2.2.0.00-INGRESOS CORRIENTES ACPM</t>
  </si>
  <si>
    <t>1.2.4.1.01 - SGP-EDUCACION-PRESTACION DE SERVICIOS</t>
  </si>
  <si>
    <t>1.3.3.6.01-R.B. SGP-EDUCACION PRESTACION DE SERVICIOS</t>
  </si>
  <si>
    <t>1.2.4.1.01 - REINTEGROS FOMAG</t>
  </si>
  <si>
    <t>1.2.3.3.04 - OTRAS TRANSFERENCIAS CORRIENTES DESAHORRO FONPET SIN SIT DE FONDOS</t>
  </si>
  <si>
    <t>1.3.3.4.01-R.B. SOBRETASA FONDO DE SEGURIDAD</t>
  </si>
  <si>
    <t>1.3.2.2.01-R.F. SGP - EDUCACION-PRESTACION DE SERVICIO EDUCATIVO</t>
  </si>
  <si>
    <t>1.3.3.6.04- R.B. SGP-EDUCACION-CALIDAD  MATRICULA</t>
  </si>
  <si>
    <t>1.2.3.1.19 - ESTAMPILLAS PRO DESARROLLO INFRA-EDUCATIVA</t>
  </si>
  <si>
    <t>1.3.3.5.03-R.B. NACION RETIROS FONPET</t>
  </si>
  <si>
    <t>1.2.3.3.03 - APORTES NACION</t>
  </si>
  <si>
    <t>1.3.1.1.05 - RECURSOS DE CREDITO INTERNO</t>
  </si>
  <si>
    <t>1.2.3.1.19 - ESTAMPILLAS PRO ELECTRIFICACION RURAL</t>
  </si>
  <si>
    <t>1.3.3.3.20-R.B. ESTAMPILLA PRO ELECTRIFICACION RURAL</t>
  </si>
  <si>
    <t>1.2.3.1.19 - ESTAMPILLAS PRO DESARROLLO INFR SANITARIA</t>
  </si>
  <si>
    <t>1.2.4.2.02 - SGP-SALUD-SALUD PUBLICA</t>
  </si>
  <si>
    <t>1.2.3.2.06-CONTRIBUCION SOBRE CONTRATOS DE OBRA PUBLICA</t>
  </si>
  <si>
    <t>1.2.3.1.15-SOBRETASA FONDO DE SEGURIDAD</t>
  </si>
  <si>
    <t>1.3.3.4.01-R.B. CONTRIBUCION SOBRE CONTRATOS DE OBRA PUBLICA</t>
  </si>
  <si>
    <t>1.3.2.3.11-R.F. SOBRETASA FONDO DE SEGURIDAD</t>
  </si>
  <si>
    <t>1.3.2.3.11-R.F. CONTRIBUCION SOBRE CONTRATOS DE OBRA PUBLICA</t>
  </si>
  <si>
    <t>1.3.3.7.02-R.B. SGP-SALUD-SALUD PUBLICA</t>
  </si>
  <si>
    <t>1.2.3.2.27-VENTA DE BIENES Y SERVICIOS CON DESTINACION-VENTA DE MEDCAMENTOS- FRE</t>
  </si>
  <si>
    <t>1.2.3.2.27-VENTA DE BIENES Y SERVICIOS CON DESTINACION- VENTA TARGETAS</t>
  </si>
  <si>
    <t>1.3.2.3.11-R.F. FONDO ROTATORIO</t>
  </si>
  <si>
    <t>1.3.3.5.03-R.B. APORTES NACION - ALIMENTACION ESCOLAR</t>
  </si>
  <si>
    <t>1.2.3.2.07 - OTRAS MULTAS, SANCIONES E INTERESES DE MORA</t>
  </si>
  <si>
    <t>1.2.3.2.21-DERECHOS DE TRANSITO</t>
  </si>
  <si>
    <t>1.2.3.3.04 - OTRAS TRANSFERENCIAS CORRIENTES DE OTRAS ENTIDADES DEL GOBIERNO GENERAL</t>
  </si>
  <si>
    <t>1.3.3.4.15-R.B.DERECHOS DE TRANSITO</t>
  </si>
  <si>
    <t>1.3.3.5.04- R.B. OTRAS TRANSFERENCIAS ANTIGUO SISTEMA DE REGALIAS</t>
  </si>
  <si>
    <t>1.3.3.2.00-RECURSOS DEL BALANCE DE ACPM</t>
  </si>
  <si>
    <t>1.3.3.11.07-R.B. TRANSFERENCIAS ANTICONTRABANDO</t>
  </si>
  <si>
    <t>1.3.3.5.04-R.B. OTRAS TRANSFERENCIAS CORRIENTES DE OTRAS ENT-NACION</t>
  </si>
  <si>
    <t>1.3.3.7.02-R.B.SALUD-SUBSIDIO A LA OFERTA</t>
  </si>
  <si>
    <t>1.2.3.1.19 - ESTAMPILLAS PARA EL BIENESTAR DEL ADULTO MAYOR</t>
  </si>
  <si>
    <t>1.3.3.11.07-R.B. TRANSFERENCIAS NACION -FOME</t>
  </si>
  <si>
    <t>1.2.1.0.00 -INGRESOS CORRIENTES DE LIBRE DESTINACION 1% ACUIFEROS</t>
  </si>
  <si>
    <t>1.3.3.3.20-R.B. ESTAMPILLAS PARA EL BIENESTAR DEL ADULTO MAYOR</t>
  </si>
  <si>
    <t>1.2.3.3.03 - APORTES NACION-SIN SIT DE FONDOS</t>
  </si>
  <si>
    <t>1.2.4.2.04 - SGP-SALUD-SUBSIDIO A LA OFERTA</t>
  </si>
  <si>
    <t>1.2.3.1.19 - ESTAMPILLAS PRO HOSPITALES</t>
  </si>
  <si>
    <t>1.2.2.0.00 - IVA CEDIDO REGIMEN SUBSIDIADO SIN SIT DE FONDOS</t>
  </si>
  <si>
    <t>1.3.3.2.00-R.B RENTAS CEDIDAS REGIMEN SUBSIDIADO</t>
  </si>
  <si>
    <t>1.3.2.3.11-R.F. RENTAS CEDIDAS REG SUBSIDIADO</t>
  </si>
  <si>
    <t>1.2.3.1.19 - ESTAMPILLAS</t>
  </si>
  <si>
    <t>1.2.4.6.00 - SGP-AGUA POTABLE Y SANEAMIENTO BASICO</t>
  </si>
  <si>
    <t>1.3.3.3.19-R.B. TASA PRO DEPORTE</t>
  </si>
  <si>
    <t>1.2.3.1.08-IMPUESTO AL CONSUMO DE LICORES, VINOS, APERITIVOS Y SIMILARES</t>
  </si>
  <si>
    <t>1.2.3.1.10-IMPUESTO AL CONSUMO DE CIGARRILLOS Y TABACO</t>
  </si>
  <si>
    <t>1.2.3.1.18-TASA PRODEPORTE Y RECREACION</t>
  </si>
  <si>
    <t>1.2.2.0.00 - INGRESOS CORRIENTES DE DESTINACION ESPECIFICA TELEFONIA MOVIL</t>
  </si>
  <si>
    <t>1.3.3.2.00-RECURSOS DEL BALANCE DE CONSUMO DE CIGARRILLO</t>
  </si>
  <si>
    <t>1.3.3.2.00-RECURSOS DEL BALANCE DE LICOR EXTRANJERO</t>
  </si>
  <si>
    <t>1.3.3.2.00-RECURSOS DEL BALANCE DE LICOR NACIONAL</t>
  </si>
  <si>
    <t>1.3.2.1.22-R.F. DE OTRAS TASA PRO-DEPORTE</t>
  </si>
  <si>
    <t>1.3.2.3.11-R.F. ESTAMPILLA PRO HOSPITAL</t>
  </si>
  <si>
    <t>1.3.2.3.11- ESTAMPILLA PRO CULTURA</t>
  </si>
  <si>
    <t>1.3.2.3.11-R.F. ESTAMPILLA UNIVERSIDAD DE SUCRE</t>
  </si>
  <si>
    <t>1.2.3.1.19 - ESTAMPILLAS PRO DESARROLLO INFR DEPORTIVA</t>
  </si>
  <si>
    <t>1.2.3.1.19 - R.F.ESTAMPILLAS ESTAMPILLA PRO CULTURA</t>
  </si>
  <si>
    <t>1.3.3.3.20-R.B. ESTAMPILLA PRO DESARROLLO DEPORTE</t>
  </si>
  <si>
    <t>1.3.2.3.11-R.F. ESTAMPILLA PRO DESARROLLO DEPORTE</t>
  </si>
  <si>
    <t>1.3.3.3.20-R.B. ESTAMPILLA PRO- HOSPITAL</t>
  </si>
  <si>
    <t>1.3.3.3.20-R.B. ESTAMPILLA PRO CULTURA</t>
  </si>
  <si>
    <t>1.3.3.3.20-R.B. ESTAMPILLA PRO CULTRA GESTORES CULTURALES</t>
  </si>
  <si>
    <t>1.3.3.3.20-R.B. ESTAMPILLA PRO UNIVERSIDAD</t>
  </si>
  <si>
    <t>1.2.3.1.19 - 30% IMPUESTO DE REGISTRO</t>
  </si>
  <si>
    <t>20</t>
  </si>
  <si>
    <t>25</t>
  </si>
  <si>
    <t>21</t>
  </si>
  <si>
    <t>16</t>
  </si>
  <si>
    <t>15</t>
  </si>
  <si>
    <t>14</t>
  </si>
  <si>
    <t>18</t>
  </si>
  <si>
    <t>12</t>
  </si>
  <si>
    <t>13</t>
  </si>
  <si>
    <t>23</t>
  </si>
  <si>
    <t>NIVEL CENTRAL</t>
  </si>
  <si>
    <t>SALUD</t>
  </si>
  <si>
    <t>Secretaría General</t>
  </si>
  <si>
    <t>Universidad De Sucre</t>
  </si>
  <si>
    <t>EDUCACION</t>
  </si>
  <si>
    <t>Subsecretaría De Gestión De Hábitat Y Vivienda</t>
  </si>
  <si>
    <t>Secretaría Del Interior</t>
  </si>
  <si>
    <t>Secretaría De Infraestructura</t>
  </si>
  <si>
    <t>Secretaría De Hacienda</t>
  </si>
  <si>
    <t>Secretaría De Planeación</t>
  </si>
  <si>
    <t>Secretaría De Desarrollo Económico Y Medio Ambiente</t>
  </si>
  <si>
    <t>Secretaría De Tránsito Y Transporte</t>
  </si>
  <si>
    <t>Oficina De Gestión De Tecnologías De La Información - Ti</t>
  </si>
  <si>
    <t>Secretaría De Comunicaciones</t>
  </si>
  <si>
    <t>Subsecretaría De Gestión De La Inclusión Social</t>
  </si>
  <si>
    <t>Subsecretaría De Gestión De La Mujer Y Equidad De Género</t>
  </si>
  <si>
    <t>Unidad Administrativa Especial Para La Gestión Del Riesgo, Atención De Desastres Y Cambio Climático,</t>
  </si>
  <si>
    <t>Fondo Mixto</t>
  </si>
  <si>
    <t>Inder</t>
  </si>
  <si>
    <t>Bellas Artes</t>
  </si>
  <si>
    <t>Aguas De Sucre</t>
  </si>
  <si>
    <t>Colciencias</t>
  </si>
  <si>
    <t>0</t>
  </si>
  <si>
    <t>2023002700166</t>
  </si>
  <si>
    <t>2022002700035</t>
  </si>
  <si>
    <t>2024002700043</t>
  </si>
  <si>
    <t>2022002700134</t>
  </si>
  <si>
    <t>2023002700128</t>
  </si>
  <si>
    <t>2024002700115</t>
  </si>
  <si>
    <t>2023002700021</t>
  </si>
  <si>
    <t>2022002700102</t>
  </si>
  <si>
    <t>2024002700061</t>
  </si>
  <si>
    <t>2024002700064</t>
  </si>
  <si>
    <t>2022002700012</t>
  </si>
  <si>
    <t>2022002700084</t>
  </si>
  <si>
    <t>2022707420040</t>
  </si>
  <si>
    <t>2024002700126</t>
  </si>
  <si>
    <t>202400000001456</t>
  </si>
  <si>
    <t>2022002700117</t>
  </si>
  <si>
    <t>2024002700081</t>
  </si>
  <si>
    <t>2024002700131</t>
  </si>
  <si>
    <t>2024002700144</t>
  </si>
  <si>
    <t>2021002700364</t>
  </si>
  <si>
    <t>2024002700029</t>
  </si>
  <si>
    <t>2024002700019</t>
  </si>
  <si>
    <t>2024002700152</t>
  </si>
  <si>
    <t>2024002700156</t>
  </si>
  <si>
    <t>2024002700087</t>
  </si>
  <si>
    <t>2024002700086</t>
  </si>
  <si>
    <t>2024002700085</t>
  </si>
  <si>
    <t>2024002700084</t>
  </si>
  <si>
    <t>2024002700008</t>
  </si>
  <si>
    <t>2024002700009</t>
  </si>
  <si>
    <t>2024002700012</t>
  </si>
  <si>
    <t>2024002700063</t>
  </si>
  <si>
    <t>2023002700044</t>
  </si>
  <si>
    <t>2024002700023</t>
  </si>
  <si>
    <t>2024002700159</t>
  </si>
  <si>
    <t>2024002700164</t>
  </si>
  <si>
    <t>2024002700090</t>
  </si>
  <si>
    <t>2023002700175</t>
  </si>
  <si>
    <t>2024002700018</t>
  </si>
  <si>
    <t>2023002700176</t>
  </si>
  <si>
    <t>2024002700017</t>
  </si>
  <si>
    <t>2024002700054</t>
  </si>
  <si>
    <t>2024002700082</t>
  </si>
  <si>
    <t>2024002700022</t>
  </si>
  <si>
    <t>2024002700004</t>
  </si>
  <si>
    <t>2024002700005</t>
  </si>
  <si>
    <t>2024002700006</t>
  </si>
  <si>
    <t>2024002700007</t>
  </si>
  <si>
    <t>2024002700011</t>
  </si>
  <si>
    <t>2024002700014</t>
  </si>
  <si>
    <t>2024002700015</t>
  </si>
  <si>
    <t>2024002700016</t>
  </si>
  <si>
    <t>2024002700021</t>
  </si>
  <si>
    <t>2024002700165</t>
  </si>
  <si>
    <t>2024002700163</t>
  </si>
  <si>
    <t>2024002700042</t>
  </si>
  <si>
    <t>2024002700076</t>
  </si>
  <si>
    <t>2024002700031</t>
  </si>
  <si>
    <t>2024002700026</t>
  </si>
  <si>
    <t>2024002700141</t>
  </si>
  <si>
    <t>2024002700103</t>
  </si>
  <si>
    <t>2024002700121</t>
  </si>
  <si>
    <t>2024002700138</t>
  </si>
  <si>
    <t>2024002700104</t>
  </si>
  <si>
    <t>202400000002381</t>
  </si>
  <si>
    <t>2022002700110</t>
  </si>
  <si>
    <t>2022002700137</t>
  </si>
  <si>
    <t>2023002700012</t>
  </si>
  <si>
    <t>2024002700002</t>
  </si>
  <si>
    <t>2024002700003</t>
  </si>
  <si>
    <t>2024002700045</t>
  </si>
  <si>
    <t>2024002700058</t>
  </si>
  <si>
    <t>2024002700059</t>
  </si>
  <si>
    <t>2024002700109</t>
  </si>
  <si>
    <t>2024002700129</t>
  </si>
  <si>
    <t>2024002700132</t>
  </si>
  <si>
    <t>2024002700147</t>
  </si>
  <si>
    <t>2024002700020</t>
  </si>
  <si>
    <t>2024002700032</t>
  </si>
  <si>
    <t>2024002700038</t>
  </si>
  <si>
    <t>2024002700072</t>
  </si>
  <si>
    <t>2024002700078</t>
  </si>
  <si>
    <t>2024002700080</t>
  </si>
  <si>
    <t>2024002700105</t>
  </si>
  <si>
    <t>2024002700028</t>
  </si>
  <si>
    <t>2024002700041</t>
  </si>
  <si>
    <t>2024002700046</t>
  </si>
  <si>
    <t>2024002700053</t>
  </si>
  <si>
    <t>2024002700060</t>
  </si>
  <si>
    <t>2024002700094</t>
  </si>
  <si>
    <t>2024002700095</t>
  </si>
  <si>
    <t>2024002700096</t>
  </si>
  <si>
    <t>2024002700097</t>
  </si>
  <si>
    <t>2024002700098</t>
  </si>
  <si>
    <t>2024002700099</t>
  </si>
  <si>
    <t>2024002700101</t>
  </si>
  <si>
    <t>202400000001355</t>
  </si>
  <si>
    <t>202400000000536</t>
  </si>
  <si>
    <t>202400000001165</t>
  </si>
  <si>
    <t>2023002700152</t>
  </si>
  <si>
    <t>2024002700013</t>
  </si>
  <si>
    <t>2024002700047</t>
  </si>
  <si>
    <t>2024002700048</t>
  </si>
  <si>
    <t>2024002700057</t>
  </si>
  <si>
    <t>2024002700120</t>
  </si>
  <si>
    <t>2024002700127</t>
  </si>
  <si>
    <t>2024002700128</t>
  </si>
  <si>
    <t>2024002700114</t>
  </si>
  <si>
    <t>2024002700150</t>
  </si>
  <si>
    <t>2024002700108</t>
  </si>
  <si>
    <t>202400000002636</t>
  </si>
  <si>
    <t>2024002700074</t>
  </si>
  <si>
    <t>2024002700033</t>
  </si>
  <si>
    <t>2024002700056</t>
  </si>
  <si>
    <t>2024002700062</t>
  </si>
  <si>
    <t>2024002700079</t>
  </si>
  <si>
    <t>2024002700137</t>
  </si>
  <si>
    <t>2024002700161</t>
  </si>
  <si>
    <t>202400000002702</t>
  </si>
  <si>
    <t>2024002700102</t>
  </si>
  <si>
    <t>2024002700130</t>
  </si>
  <si>
    <t>2024002700044</t>
  </si>
  <si>
    <t>2024002700106</t>
  </si>
  <si>
    <t>2024002700107</t>
  </si>
  <si>
    <t>2024002700071</t>
  </si>
  <si>
    <t>2024002700155</t>
  </si>
  <si>
    <t>2024002700025</t>
  </si>
  <si>
    <t>2024002700143</t>
  </si>
  <si>
    <t>2024002700055</t>
  </si>
  <si>
    <t>ENERO A DICIEMBRE 2024</t>
  </si>
  <si>
    <t>CON CDP Y RP</t>
  </si>
  <si>
    <t>EN EJECUCION O TERMINADO</t>
  </si>
  <si>
    <t>CON CDP SIN RP</t>
  </si>
  <si>
    <t>EN PROCESO CONTRACTUAL SIN ADJUDICAR</t>
  </si>
  <si>
    <t>SIN CDP NI RP</t>
  </si>
  <si>
    <t>REGISTRADO Y VIABILIZADO SIN INICIAR PROCESO CONTRACTUAL</t>
  </si>
  <si>
    <t xml:space="preserve">PENDIENTE </t>
  </si>
  <si>
    <t>RECURSOS DISPONIBLES SIN PROYECTO ASOCIADO</t>
  </si>
  <si>
    <t>FUENTE SIN RECURSOS</t>
  </si>
  <si>
    <t>NO REQUIERE PROYECTO</t>
  </si>
  <si>
    <t>FUENTES QUE NO REQUIEREN PROYECTOS - TRANSFERENCIAS</t>
  </si>
  <si>
    <t>NOMBRE PROYECTO</t>
  </si>
  <si>
    <t>Actualización De Los Costos De Prestación De Servicios Personales Vigencia 2024 A Funcionarios Docentes Directivos Docentes Y Administrativos Del Sector Educativo Oficial En El Departamento De Sucre</t>
  </si>
  <si>
    <t>MT070</t>
  </si>
  <si>
    <t>CODIGO META</t>
  </si>
  <si>
    <t>INDICADOR</t>
  </si>
  <si>
    <t>Mantenimiento de las Instalaciones del Centro De Desarrollo Infantil Rayito De Luz En El Municipio De Sincé Departamento De Sucre</t>
  </si>
  <si>
    <t>MT067</t>
  </si>
  <si>
    <t>Construcción DE CERRAMIENTO DE LA INSTITUCIÓN EDUCATIVA MARISCAL SUCRE EN EL MUNICIPIO DE Sampués Sucre</t>
  </si>
  <si>
    <t>Adecuación de las instalaciones de la Institución Educativa Instituto la Unión Municipio de la Unión Departamento de Sucre</t>
  </si>
  <si>
    <t>Mejoramiento de la Infraestructura de la Institución Educativa Buenavista - Sede Primaria San Francisco de Asís municipio de Buenavista Departamento de Sucre</t>
  </si>
  <si>
    <t>Suministro DE LA PRIMERA SEGUNDA Y TERCERA DOTACIÓN DE VESTUARIOS Y CALZADOS DE LABOR VIGENCIA 2024 A LOS DOCENTES Y ADMINISTRATIVOS DE LOS ESTABLECIMIENTOS EDUCATIVOS DEL DEPARTAMENTO DE Sucre</t>
  </si>
  <si>
    <t>APOYO AL PROGRAMA DE ALIMENTACIÓN ESCOLAR -PAE REGULAR- EN LAS INSTITUCIONES EDUCATIVAS OFICIALES DEL DEPARTAMENTO DE SUCRE VIGENCIA 2024</t>
  </si>
  <si>
    <t>MT065</t>
  </si>
  <si>
    <t>Apoyo al programa de alimentación escolar para pueblos indígenas (PAIP) para la vigencia 2024 en el Departamento de Sucre</t>
  </si>
  <si>
    <t>Fortalecimiento de los establecimientos educativos mediante el programa de educación inclusiva con calidad y equidad para la atención a la diversidad durante la vigencia 2024 en el departamento de Sucre</t>
  </si>
  <si>
    <t>Apoyo AL PROGRAMA DE FONDOS EDUCATIVOS (FOSE) PARA EL SEGUIMIENTO CONTROL Y CONSOLIDACIÓN FINANCIERA DE RECURSOS DE GRATUIDAD EDUCATIVA VIGENCIA 2024 PARA LOS ESTABLECIMIENTOS EDUCATIVOS DEL DEPARTAMENTO DE Sucre</t>
  </si>
  <si>
    <t>Implementación de la estrategia de conectividad escolar conexión total del ministerio de educación nacional vigencia 2024 en establecimientos yo sedes educativas oficiales de los municipios no certificados del departamento de Sucre</t>
  </si>
  <si>
    <t>Fortalecimiento a docentes y directivos docentes en competencias básicas especificas ciudadanas y socioemocionales durante la vigencia 2024 en el departamento de Sucre</t>
  </si>
  <si>
    <t>Apoyo a la implementación del programa prensa escuela para el fortalecimiento de competencias integrales en los estudiantes de los establecimientos educativos oficiales de los municipios no certificados del departamento de Sucre</t>
  </si>
  <si>
    <t>Apoyo al foro educativo SUCRE tierra de Oportunidades Educación y Paz en su primera etapa en el Departamento de Sucre</t>
  </si>
  <si>
    <t>Apoyo a los foros educativos SUCRE tierra de Oportunidades Educación y Paz en su segunda etapa en el Departamento de Sucre</t>
  </si>
  <si>
    <t>Apoyo a los procesos de bienestar laboral y capacitación a docentes directivos docentes y administrativos de la secretaria de educación del departamento de Sucre</t>
  </si>
  <si>
    <t>Fortalecimiento de las acciones de retención estudiantil para la sede Eco-Región Mojana de la Universidad de Sucre Departamento Sucre</t>
  </si>
  <si>
    <t>Fortalecimiento de la Política de Gobierno Digital durante la vigencia 2024 en el departamento de Sucre</t>
  </si>
  <si>
    <t>Adquisición de computadores portátiles durante la vigencia 2024 con destino a sedes educativas oficiales de los municipios no certificados del departamento de Sucre</t>
  </si>
  <si>
    <t>Fortalecimiento de la infraestructura tecnológica y dinamización de la implementación de la política de Gobierno digital a través del habilitador de arquitectura empresarial en el departamento de Sucre</t>
  </si>
  <si>
    <t>Implementación DEL PROGRAMA SUCRE CON AUTORIDAD SANITARIA Y AMBIENTAL PLAN DE ACCIÓN TRANSITORIO 2024 EN EL DEPARTAMENTO DE Sucre</t>
  </si>
  <si>
    <t>MT085</t>
  </si>
  <si>
    <t>Fortalecimiento de la Gobernanza y la Gobernabilidad para el desarrollo de acciones del Plan Territorial de Salud Vigencia 2024 en el departamento de Sucre</t>
  </si>
  <si>
    <t>Desarrollo de acciones de gestión en salud pública para el fortalecimiento institucional sectorial y comunitario vigencia 2024 en el departamento de Sucre</t>
  </si>
  <si>
    <t>MT089</t>
  </si>
  <si>
    <t>Implementación Y DESARROLLO DEL PROGRAMA DE PREVENCIÓN Y CONTROL DE LA TUBERCULOSIS VIGENCIA 2024 EN EL DEPARTAMENTO DE Sucre</t>
  </si>
  <si>
    <t>MT130</t>
  </si>
  <si>
    <t>Caracterización del riesgo de enfermedades transmitidas por vectores basado en Vigilancia Entomológica y Análisis Molecular de agentes etiológicos de vectores transmisores en el departamento Sucre</t>
  </si>
  <si>
    <t>MT112</t>
  </si>
  <si>
    <t>Implementación del programa compasión por la biodiversidad plan de acción transitorio 2024 en el Departamento de Sucre</t>
  </si>
  <si>
    <t>MT115</t>
  </si>
  <si>
    <t>Desarrollo de la dimensión Salud y Ámbito Laboral del Programa Salud Pública Prioritaria y Diferente Plan de Acción Transitorio 2024 en el departamento de Sucre</t>
  </si>
  <si>
    <t>MT118</t>
  </si>
  <si>
    <t>Desarrollo de la dimensión vida saludable y enfermedades transmisibles - enfermedades emergentes reemergentes y desatendidas del programa salud pública prioritaria y diferente plan de acción transitorio 2024 en el departamento de Sucre</t>
  </si>
  <si>
    <t>MT129</t>
  </si>
  <si>
    <t>Desarrollo de la dimensión seguridad alimentaria y nutricional del programa salud pública prioritaria y diferente plan de acción transitorio 2024 en el departamento de Sucre</t>
  </si>
  <si>
    <t>MT092</t>
  </si>
  <si>
    <t>Desarrollo de la dimensión transversal Gestión Diferencial de Poblaciones Vulnerables del Programa Salud Pública Prioritaria y Diferente Plan de Acción Transitorio 2024 en el departamento de Sucre</t>
  </si>
  <si>
    <t>Desarrollo de la dimensión convivencia social y salud mental del programa salud pública prioritaria y diferente plan de acción transitorio 2024 en el departamento de Sucre</t>
  </si>
  <si>
    <t>MT127</t>
  </si>
  <si>
    <t>Desarrollo de la dimensión vida saludable y condiciones no transmisibles del programa salud pública prioritaria y diferente plan de acción transitorio 2024 en el departamento de Sucre</t>
  </si>
  <si>
    <t>MT102</t>
  </si>
  <si>
    <t>Desarrollo de la dimensión Vida Saludable y Enfermedades Transmisibles - Condiciones y Situaciones Endemoepidémicas del Programa Salud Pública Prioritaria y Diferente Plan de Acción Transitorio 2024 en el departamento de Sucre</t>
  </si>
  <si>
    <t>Desarrollo de la dimensión sexualidad derechos sexuales y reproductivos del programa salud pública prioritaria y diferente plan de acción transitorio 2024 en el departamento de Sucre</t>
  </si>
  <si>
    <t>MT087</t>
  </si>
  <si>
    <t>Desarrollo DE LA DIMENSIÓN VIDA SALUDABLE Y ENFERMEDADES TRANSMISIBLES ENFERMEDADES INMUNOPREVENIBLES DELPROGRAMA SALUD PÚBLICA PRIORITARIA Y DIFERENTE PLAN DE ACCION TRANSITORIO 2024 EN EL DEPARTAMENTO DE Sucre</t>
  </si>
  <si>
    <t>MT095</t>
  </si>
  <si>
    <t>Implementación de acciones en salud pública para el desarrollo de las Intervenciones Individuales y Colectivas para la afectación positiva de los determinantes sociales de la salud con enfoque familiar y de atención primaria en salud vigencia 2024 en el departamento de Sucre</t>
  </si>
  <si>
    <t>MT088</t>
  </si>
  <si>
    <t>Implementación y desarrollo del programa nacional de eliminación de Lepra o Enfermedad de Hansen vigencia 2024 en el Departamento de Sucre</t>
  </si>
  <si>
    <t>Apoyo al proceso de reorganización rediseño y modernización de la red pública de salud de orden departamental en Sucre</t>
  </si>
  <si>
    <t>Implementación DE LA CERTIFICACIÓN DE DISCAPACIDAD Y REGISTRO DE LOCALIZACIÓN Y CARACTERIZACIÓN DE PERSONAS CON DISCAPACIDAD VIGENCIA 2024 EN EL DEPARTAMENTO DE Sucre</t>
  </si>
  <si>
    <t>Implementación DE COMPLEMENTO DEL PROCESO DE CERTIFICACIÓN DE DISCAPACIDAD Y REGISTRO DE LOCALIZACIÓN Y CARACTERIZACIÓN DE PERSONAS CON DISCAPACIDAD VIGENCIA 2024 EN EL DEPARTAMENTO DE Sucre</t>
  </si>
  <si>
    <t>Implementación DE ESTRATEGIAS COMUNICACIONALES PARA LA DIFUSIÓN Y PROMOCIÓN DE LA GESTIÓN TRAMITES SERVICIOS Y OFERTA INSTITUCIONAL DE LA GOBERNCIÓN DE Sucre</t>
  </si>
  <si>
    <t>Apoyo a la promoción en el Mobile World Congress versión 2024 del sector turístico del Departamento de Sucre</t>
  </si>
  <si>
    <t>Adquisición de predio para la puesta en marcha de una planta de secamiento almacenamiento y trilla de arroz en la Subregión Mojana del departamento de Sucre</t>
  </si>
  <si>
    <t>MT242</t>
  </si>
  <si>
    <t>Apoyo a la promoción y posicionamiento en la Vitrina Turística ANATO 2024 del sector turístico del departamento de Sucre</t>
  </si>
  <si>
    <t>MT216</t>
  </si>
  <si>
    <t>Apoyo a la certificación de playas turísticas en el sello de calidad ambiental bandera azul para la vigencia 2024 en los municipios de Coveñas y Santiago de Tolú del departamento de Sucre</t>
  </si>
  <si>
    <t>MT212</t>
  </si>
  <si>
    <t>Aportes PARA LA PARTICIPACIÓN EN LA COP16 MEDIANTE EL DESARROLLO DE POLÍTICAS Y ESTRATEGIAS EMPRESARIALES Y COMERCIALES COMO MECANISMO DE PROMOCIÓN TURÍSTICA Y CULTURA DEL DEPARTAMENTO DE Sucre</t>
  </si>
  <si>
    <t>Implementación de buenas prácticas Porcícolas en unidades productivas de familias de escasos recursos de los corregimientos de la Arena y Buenavista municipio de Sincelejo en el departamento de Sucre</t>
  </si>
  <si>
    <t>Implementación de un modelo alternativo para la producción de carne de ovino con seis (6) organizaciones de pequeños productores del municipio de san marcos - departamento de Sucre</t>
  </si>
  <si>
    <t>Fortalecimiento de las Unidades Productoras de Yabolín en el Municipio de San Juan de Betulia Departamento de Sucre Sucre</t>
  </si>
  <si>
    <t>Fortalecimiento DE LA COMISIÓN REGIONAL DE COMPETITIVIDAD E INNOVACIÓN DE Sucre</t>
  </si>
  <si>
    <t>Apoyo a la participación en ferias de exhibición internacional internacional del cuero e insumo maquinaria y tecnología del sector calzado del Sucre</t>
  </si>
  <si>
    <t>Implementación de acciones de promoción y valorización internacional del turismo la cultura y la agroindustria del departamento de Sucre</t>
  </si>
  <si>
    <t>Apoyo a la promoción y fortalecimiento comercial de emprendedores en el marco de la feria exposición agropecuaria en el departamento de Sucre</t>
  </si>
  <si>
    <t>Fortalecimiento A LA PROMOCION DE PRODUCTORES AGROPECUARIOS EN EL MARCO DE LA FERIA ARTESANAL COMERCIAL Y XVII EXPOSICION EQUINA GRADO B A REALIZARSE EN EL MUNICIPIO DE SINCELEJO Sucre</t>
  </si>
  <si>
    <t>Apoyo a la promoción fomento y fortalecimiento comercial de los subsectores calzado marroquinería artesanías moda textil y turismo 2024 en el marco de la reactivación económica del departamento de Sucre</t>
  </si>
  <si>
    <t>Fortalecimiento A LA PROMOCION DE PRODUCTORES AGROPECUARIOS EN EL MARCO DE LA MUESTRA GASTRONOMICA AGROINDUSTRIAL COMERCIAL Y ARTESANAL Y 44 EXPOSICION EQUINA GRADO A A REALIZARSE EN EL DEPARTAMENTO DE Sucre</t>
  </si>
  <si>
    <t>Implementación de un modelo alternativo para la producción de carne de ovino con Seis (6) organizaciones de pequeños productores del Municipio de San Marcos Departamento de Sucre</t>
  </si>
  <si>
    <t>Fortalecimiento de las unidades productoras de yabolín en el municipio de San Juan de Betulia Departamento de Sucre</t>
  </si>
  <si>
    <t>Suministro e Instalación de redes eléctricas para la planta de procesamiento de productos lácteos de la asociación APIAS en el corregimiento de San Rafael Ovejas Sucre</t>
  </si>
  <si>
    <t>Adquisición de áreas estratégicas para conservación del recurso hídrico en el departamento de Sucre</t>
  </si>
  <si>
    <t>Apoyo A LA SECRETARÍA DE HACIENDA DEPARTAMENTAL PARA EL CONTROL DEL CONTRABANDO Y LA EVASIÓN FISCAL DE LOS IMPUESTOS AL CONSUMO DE LICORES CERVEZAS Y CIGARRILLOS VIGENCIA 2024 EN EL DEPARTAMENTO DE Sucre</t>
  </si>
  <si>
    <t>MT383</t>
  </si>
  <si>
    <t>Apoyo a la prestación del servicios para el control del transporte y trazabilidad de productos generadores de impuestos al consumo de licores cervezas y cigarrillos - sistema infoconsumo en la vigencia 2024 en el departamento de Sucre</t>
  </si>
  <si>
    <t>MT382</t>
  </si>
  <si>
    <t>Fortalecimiento DE PROCESOS ADMINISTRATIVOS CONTABLES Y FINANCIEROS VIGENCIA 2024 DE LA GOBERNACIÓN DE Sucre</t>
  </si>
  <si>
    <t>Fortalecimiento DE LA GESTION ADMINISTRATIVA DE LOS TRIBUTOS DEPARTAMENTALES EN LA VIGENCIA 2024 DE LA SECRETARIA DE HACIENDA DE LA GOBERNACION DE Sucre</t>
  </si>
  <si>
    <t>Apoyo para la organización actualización y acompañamiento al fortalecimiento institucional en la depuración del pasivo pensional y normalización de cartera de los sectores educación propósito general y salud vigencia 2024 en el Departamento de Sucre</t>
  </si>
  <si>
    <t>MT384</t>
  </si>
  <si>
    <t>Fortalecimiento DE LA SECRETARÍA DE HACIENDA DEPARTAMENTAL PARA EL CONTROL DEL CONTRABANDO Y LA EVASIÓN FISCAL DE LOS IMPUESTOS AL CONSUMO DE LICORES CERVEZAS Y CIGARRILLOS VIGENCIA 2024 EN EL DEPARTAMENTO DE Sucre</t>
  </si>
  <si>
    <t>PENDIENTE POR PREGUNTAR</t>
  </si>
  <si>
    <t>OBSERVACIONES</t>
  </si>
  <si>
    <t>Construcción equipamiento fijo y dotación del Hospital del Golfo de Morrosquillo en el Municipio de Coveñas Sucre</t>
  </si>
  <si>
    <t>MT143</t>
  </si>
  <si>
    <t>Construcción y dotación de una estación de bomberos en el municipio de Santiago de Tolú departamento de Sucre</t>
  </si>
  <si>
    <t>MT426</t>
  </si>
  <si>
    <t>Fortalecimiento institucional a través de la adecuación de espacios físicos para mejorar la prestación de servicios de la Gobernación del departamanto de Sucre</t>
  </si>
  <si>
    <t>MT362</t>
  </si>
  <si>
    <t>CODIGO HOMOLOGADO</t>
  </si>
  <si>
    <t>Modernización de los Sistemas de Información y las Instalaciones Físicas de la Asamblea del Departamento de Sucre</t>
  </si>
  <si>
    <t>Mejoramiento yo mantenimiento víal y obras en puntos críticos mediante el fortalecimiento del banco de maquinarias del Departamento de Sucre</t>
  </si>
  <si>
    <t>MT331</t>
  </si>
  <si>
    <t>Mejoramiento de Vías Urbanas Mi Calle Diferente en Municipios del Departamento de Sucre</t>
  </si>
  <si>
    <t>MT323</t>
  </si>
  <si>
    <t>Construcción de pavimento en concreto hidráulico de la calle 15 entre carreras 6 y 9 del Barrio el Bosque Municipio de Sincé Departamento de Sucre</t>
  </si>
  <si>
    <t>Mantenimiento rutinario de la malla vial del departamento de Sucre</t>
  </si>
  <si>
    <t>MT328</t>
  </si>
  <si>
    <t>Implementación De Una Comunidad Energética Urbana En El Mercado Municipal De Sincelejo, Sucre</t>
  </si>
  <si>
    <t>Construcción de sistemas de autogeneración eléctrica en viviendas rurales dispersas en el departamento de Sucre</t>
  </si>
  <si>
    <t>MT313</t>
  </si>
  <si>
    <t>HOMOLOGADO</t>
  </si>
  <si>
    <t>Elaboración DE ESTUDIOS Y DISEÑOS EN FASE 3 DE SOLUCIONES DE ENERGÍA NO CONVENCIONAL (FOTOVOLTAICA) PARA EL SUMINISTRO DE ENERGÍA ELÉCTRICA A LOS ESTABLECIMIENTOS EDUCATIVOS OFICIALES NO CERTIFICADOS DEL DEPARTAMENTO DE Sucre</t>
  </si>
  <si>
    <t>MT311</t>
  </si>
  <si>
    <t>Construcción de Soluciones Fotovoltaicas en Microacueductos Rurales en distintos Corregimientos del departamento de Sucre</t>
  </si>
  <si>
    <t>Construcción - electrificación rural fase 1 a través de redes de media y baja tensión en el departamento de Sucre</t>
  </si>
  <si>
    <t>MT312</t>
  </si>
  <si>
    <t>REHABILITACIÓN Y MEJORAMIENTO DE LA ZONA TURÍSTICA DE LA AVENIDA PRIMERA, FASE II ENTRE LA CALLE 15 Y LA CALLE 25 DEL MUNICIPIO DE SANTIAGO DE TOLÚ, DEPARTAMENTO DE SUCRE (MALECÓN DE TOLÚ)</t>
  </si>
  <si>
    <t>MT218</t>
  </si>
  <si>
    <t>Construcción de cerramiento del predio san cayetano en el municipio de Sincelejo departamento de Sucre</t>
  </si>
  <si>
    <t>MT371</t>
  </si>
  <si>
    <t>Desarrollo de una plataforma para la centralización de la información asociada a la evaluación asignación y ejecución de los proyectos y de la gestión de recursos públicos en el departamento de Sucre</t>
  </si>
  <si>
    <t>MT376</t>
  </si>
  <si>
    <t>Apoyo AL PROCESO DE PARTICIPACIÓN DIAGNÓSTICO FORMULACIÓN APROBACIÓN Y REDACCIÓN DEL PLAN DE DESARROLLO DEPARTAMENTAL 2024-2027 DEL DEPARTAMENTO DE Sucre</t>
  </si>
  <si>
    <t>MT381</t>
  </si>
  <si>
    <t>Apoyo al fortalecimiento institucional de la oficina de macroproyectos estratégicos de la gobernación del departamento de Sucre</t>
  </si>
  <si>
    <t>Prestación de servicios profesionales para brindar asesoria en la elaboracion y actualizacion de instrumentos de planificacion territorial en Sucre</t>
  </si>
  <si>
    <t>Prestación de servicios profesionales para brindar asesoría en la elaboración y actualización de instrumentos de planificación territorial en el departamento de Sucre</t>
  </si>
  <si>
    <t>Prestación de servicios profesionales para brindar asesoría en la formulación del Plan Estadístico y el diseño de la estructura del Observatorio de Desarrollo Territorial del departamento de Sucre</t>
  </si>
  <si>
    <t>Incorporación de lineamientos urbanísticos de gestión de riesgo como determinantes para el ordenamiento territorial en el marco de la revisión y ajuste del esquema de ordenamiento territorial del municipio de Los Palmitos Sucre</t>
  </si>
  <si>
    <t>Fortalecimiento al proceso de recuperación de cartera vigencia 2024 de la secretaria de transito y transporte del departamento de Sucre</t>
  </si>
  <si>
    <t>Capacitación a los primeros respondientes de siniestros de tránsito en atención integral a víctimas en el departamento de Sucre</t>
  </si>
  <si>
    <t>Estudios de preinversión para la elaboración del diagnóstico e inventario de señalización vial existente en vías localizada en la subregiones Golfo de Morrosquillo Montes de María San Jorge Sabana y Mojana en el departamento de Sucre</t>
  </si>
  <si>
    <t>Implementación DE UNA ESTRATEGIA DE CULTURA VIAL Y NORMAS DE TRANSITO A LOS ESTUDIANTES DE GRADO MEDIA SUPEROR EN DIFERENTES INSTITUCIONES EDUCATIVAS EN EL DEPARTAMENTO DE Sucre</t>
  </si>
  <si>
    <t>Adquisición DE UN SISTEMA OBSERVADOR AVANZADO DE OPERACIONES DE INTELIGENCIA Y PATRULLAJE DIURNA Y NOCTURNA DE LA ARMADA NACIONAL EN EL DEPARTAMENTO DE Sucre</t>
  </si>
  <si>
    <t>MT391</t>
  </si>
  <si>
    <t>Fortalecimiento DE LAS COMUNICACIONES PARA MEJORAR LAS CAPACIDADES OPERATIVAS DE LAS FUERZAS ARMADAS Y MIGRACION EN EL DEPARTAMENTO DE Sucre</t>
  </si>
  <si>
    <t>MT389</t>
  </si>
  <si>
    <t>Fortalecimiento DE LAS CAPACIDADES DE REACCION INTELIGENCIA E INVESTIGACION DE LAS ENTIDADES QUE HACEN PARTE COMITÉ DE ORDEN PUBLICO EN EL DEPARTAMENTO DE Sucre</t>
  </si>
  <si>
    <t>MT394</t>
  </si>
  <si>
    <t>Adquisición DE BOTE DE 36FT PARA EL FORTALECIMIENTO DEL APOYO LOGISTICO DE TRANSPORTE Y OPERACIONES FLUVIALMARÍTIMO DE LA ARMADA NACIONAL EN EL DEPARTAMENTO DE Sucre</t>
  </si>
  <si>
    <t>Apoyo logístico a la realización de sesiones de la mesa de participación efectiva y organizaciones defensoras de víctimas del conflicto armado vigencia 2024 en el Departamento de Sucre</t>
  </si>
  <si>
    <t>Prestación de servicios profesionales y de apoyo para el fortalecimiento organizativo de las juntas de acciones comunales en el departamento de Sucre</t>
  </si>
  <si>
    <t>Fortalecimiento a los procesos organizativos y culturales de las organizaciones Étnicas (Afro Indígena y Room) en el departamento de Sucre</t>
  </si>
  <si>
    <t>Apoyo logístico a las mesas de participación efectivas del consejo de paz territorial en el departamento de Sucre</t>
  </si>
  <si>
    <t>Servicio de ayudas humanitarias entregadas a familias victimas del conflicto armando vigencia 2024 en el departamento de Sucre</t>
  </si>
  <si>
    <t>Apoyo LA ELABORACION DEL PLAN INTEGRAL DE SEGURIDAD Y CONVIVENCIA CIUDADANA: SUCRE SEGURO DELDEPARTAMENTO DE Sucre</t>
  </si>
  <si>
    <t>Apoyo logístico para el desarrollo de reuniones encuentros y eventos como mecanismos para la generación de interacción pública y divulgación de la oferta institucional de la Gobernación de Sucre</t>
  </si>
  <si>
    <t>Apoyo PARA LA PRESTACIÓN DE SERVICIOS PROFESIONALES Y DE APOYO A LA GESTIÓN EN LA VIGENCIA 2024 DE LA GOBERNACIÓN DE Sucre</t>
  </si>
  <si>
    <t>Mejoramiento de viviendas mediante el Programa Casa Digna Vida Digna en zonas urbanas del Municipio de Sincelejo Departamento de Sucre</t>
  </si>
  <si>
    <t>MT264</t>
  </si>
  <si>
    <t>Apoyo logístico para la realización de actividades culturales y productivas enmarcadas en la conmemoración del día de la mujer en el departamento de Sucre</t>
  </si>
  <si>
    <t>Apoyo para la realización de actividades culturales lúdicas y recreativas en el marco del mes de la niñez en el Departamento de Sucre</t>
  </si>
  <si>
    <t>Adquisición de sillas de ruedas Neurológicas para personas en condición de discapacidad del departamento de Sucre</t>
  </si>
  <si>
    <t>Fortalecimiento a la salud y nutrición a personas viviendo con vihsida para el mejoramiento de sus condiciones de vida en los municipios de Sincelejo Corozal San Marcos Toluviejo Tolú San Onofre Sampués Majagual Sincé y Los Palmitos en el departamento de Sucre</t>
  </si>
  <si>
    <t>Apoyo PARA LA REALIZACIÓN DE ACTIVIDADES RECREATIVAS CULTURALES Y DE EMPRENDIMIENTO EN EL MARCO DEL MES DE LA FAMILIA 2024 EN EL DEPARTAMENTO DE Sucre</t>
  </si>
  <si>
    <t>Fortalecimiento ESTRATEGICO PARA PREVENIR DETECTAR Y ACOMPAÑAR A VÍCTIMAS DE VIOLENCIA BASADAS EN GÉNERO MEDIANTE UNA SOLUCION TECNOLOGICA INTEGRADA EN EL DEPARTAMENTO DE Sucre</t>
  </si>
  <si>
    <t>Apoyo PARA LA ELABORACIÓN E IMPLEMENTACIÓN DEL MAPA DE LA RUTA INTEGRAL DE ATENCIÓN A LA PRIMERA INFANCIA Y ADOLESCENCIA - RIA EN LOS MUNICIPIOS DEL DEPARTAMENTO DE Sucre</t>
  </si>
  <si>
    <t>Apoyo para la realización del mes de la juventud en el departamento de Sucre</t>
  </si>
  <si>
    <t>Fortalecimiento DE LOS ESPACIOS DE PARTICIPACIÓN DE LA PERSONA MAYOR EN EL MARCO DE LA ESTRATEGIA NACIONAL NUEVO COMIENZO OTRO MOTIVO PARA VIVIR 2024 DEL DEPARTAMENTO DE Sucre</t>
  </si>
  <si>
    <t>Apoyo fortalecimiento del sistema de participación juvenil en el departamento de sucre Sucre</t>
  </si>
  <si>
    <t>Apoyo A LA ENTREGA DE ESTÍMULOS DE CARÁCTER EDUCATIVO CULTURAL Y RECREATIVO PARA LOS CONSEJEROS DEPARTAMENTALES DE JUVENTUD Y SUMINISTRO DE ELEMENTOS DE APOYO AL SISTEMA DE PARTICIPACIÓN JUVENIL DEL DEPARTAMENTO DE Sucre</t>
  </si>
  <si>
    <t>Apoyo PARA LA REALIZACIÓN DE ACTIVIDADES CULTURALES Y ORGANIZATIVAS ENFOCADAS EN LA POBLACIÓN LGBTIQ+ EN EL DEPARTAMENTO DE Sucre</t>
  </si>
  <si>
    <t>Apoyo LOGISTICO PARA EL FORTALECIMIENTO DEL SISTEMA DE PARTICIPACIÓN JUVENIL EN EL DEPARTAMENTO DE Sucre</t>
  </si>
  <si>
    <t>Desarrollo de una estrategia para el fortalecimiento del emprendimiento y el talento de personas con discapacidad como mecanismo para la superación de barreras sociales en el marco del programa Soy Capaz en el Departamento de Sucre</t>
  </si>
  <si>
    <t>Apoyo A LOS CENTROS DE BIENESTAR PARA LA ATENCIÓN INTEGRAL DE LAS PERSONAS MAYORES DURANTE EL AÑO 2024 EN LOS MUNICIPIOS DE SAN MARCOS Y SAN ONOFRE DEL DEPARTAMENTO DE Sucre</t>
  </si>
  <si>
    <t>Fortalecimiento del Programa de atención integral para la protección y garantía de los derechos de las personas mayores durante el año 2024 en los Centros de Vida del Departamento de Sucre</t>
  </si>
  <si>
    <t>Fortalecimiento SECTOR AGROINDUSTRIAL MEDIANTE LA DOTACIÓN DE ACTIVOS Y FORMACIÓN A LA ASOCIACIÓN AMUCIPALMITO EN SU PLANTA PILOTO DE TRANSFORMACIÓN DE FRUTAS Y VERDURAS EN EL CORREGIMIENTO DEL PIÑAL, MUNICIPIO DE LOS PALMITOS DEL DEPARTAMENTO DE Sucre</t>
  </si>
  <si>
    <t>Apoyo técnico para la estructuración de programas que permitan definir procesos de gestión efectiva ante los riesgos naturales costeros en el Departamento de Sucre</t>
  </si>
  <si>
    <t>EN POAI 2024 TIENE ESTE PROGRAMA. REVISAR PORQUE EDUCACION SUPERIOR ES 2202</t>
  </si>
  <si>
    <t>PROGRAMA EN POAI 2024 - PREGUNTAR POR PROYECTO</t>
  </si>
  <si>
    <t>Apoyo PARA EL DESARROLLO DEL EVENTO DE FIN DE AÑO PARA EL FOMENTO DEL BIENESTAR SOCIAL INSTITUCIONAL DE LA GOBERNACIÓN DE Sucre</t>
  </si>
  <si>
    <t>Fortalecimiento institucional a través de la implementación de acciones que ayuden a mejorar la gestión de los residuos sólidos contaminantes no biológicos generados por la Gobernación de Sucre</t>
  </si>
  <si>
    <t>Adquisición , instalación y mantenimiento correctivo de equipos para la normalización de la medida en media tensión en la subestación eléctrica de la Gobernación de Sucre</t>
  </si>
  <si>
    <t>ACUERDO DE REESTRUCTURACION DE PASIVOS</t>
  </si>
  <si>
    <t/>
  </si>
  <si>
    <t>MT132</t>
  </si>
  <si>
    <t>MT342</t>
  </si>
  <si>
    <t>MT360</t>
  </si>
  <si>
    <t>Obra contratada, interventoría para enero</t>
  </si>
  <si>
    <t>PDD-SUCRE DIFERENTE-PRODUCTO: Vía urbana mejorada. INDICADOR: Vía urbana mejorada. HOMOLOGAR, Se hizo prórroga y adición</t>
  </si>
  <si>
    <t>Contratado</t>
  </si>
  <si>
    <t>Declarado desierto</t>
  </si>
  <si>
    <t>NO SE HIZO</t>
  </si>
  <si>
    <t>EN EJECUCION</t>
  </si>
  <si>
    <t>CONTRATADO</t>
  </si>
  <si>
    <t>MT366</t>
  </si>
  <si>
    <t>MT019</t>
  </si>
  <si>
    <t>MT307</t>
  </si>
  <si>
    <t>MT343</t>
  </si>
  <si>
    <t>MT144</t>
  </si>
  <si>
    <t>MT244</t>
  </si>
  <si>
    <t>MT203</t>
  </si>
  <si>
    <t>MT205</t>
  </si>
  <si>
    <t>MT208</t>
  </si>
  <si>
    <t>MT225</t>
  </si>
  <si>
    <t>MT454</t>
  </si>
  <si>
    <t>MT415</t>
  </si>
  <si>
    <t>MT455</t>
  </si>
  <si>
    <t>MT443</t>
  </si>
  <si>
    <t>MT373</t>
  </si>
  <si>
    <t>MT023</t>
  </si>
  <si>
    <t>MT006</t>
  </si>
  <si>
    <t>MT016</t>
  </si>
  <si>
    <t>MT031</t>
  </si>
  <si>
    <t>NO SE HIZO
Tiene Vigencia futura aprobada</t>
  </si>
  <si>
    <t>VIGENCIA FUTURA</t>
  </si>
  <si>
    <t xml:space="preserve">N/A </t>
  </si>
  <si>
    <t>VIGENCIA FUTURA APROBADA  (VF Contratación)</t>
  </si>
  <si>
    <t xml:space="preserve">NO </t>
  </si>
  <si>
    <t xml:space="preserve">VIGENCIA FUTURA APROBADA </t>
  </si>
  <si>
    <t>VIGENCIA FUTURA  (POAI 2025 - VF Contratación)</t>
  </si>
  <si>
    <t>VIGENCIA FUTURA APROBADA  (POAI 2025 - VF Contratación)</t>
  </si>
  <si>
    <t xml:space="preserve">No aplica </t>
  </si>
  <si>
    <t xml:space="preserve">NO REQUIERE VIGENCIA FUTURA </t>
  </si>
  <si>
    <t>TUVO VIGENCIAS FUTURAS 2024, NO SE REALIZÓ EL PROYECTO  (POAI 2025 - VF Contratación)</t>
  </si>
  <si>
    <t>VIGENCIA FUTURA DE EJECUCIÓN  (VF Contratación)</t>
  </si>
  <si>
    <t xml:space="preserve">VIGENCIA FUTURA DE RECURSOS </t>
  </si>
  <si>
    <t xml:space="preserve">VIGENCIA FUTURA DE EJECUCION </t>
  </si>
  <si>
    <t xml:space="preserve">VIGENCIA FUTURA DE EJECUCIÓN </t>
  </si>
  <si>
    <t>VIGENCIA FUTURA DE EJECUCIÓN APROBADA  (VF Contratación)</t>
  </si>
  <si>
    <t>MT007</t>
  </si>
  <si>
    <t>MT013</t>
  </si>
  <si>
    <t>MT030</t>
  </si>
  <si>
    <t>MT021</t>
  </si>
  <si>
    <t>Fortalecimiento ESTRATEGICO PARA PREVENIR, DETECTAR Y ACOMPAÑAR A VÍCTIMAS DE VIOLENCIA BASADAS EN GÉNEROMEDIANTE UNA SOLUCION TECNOLOGICA INTEGRADA, EN EL DEPARTAMENTO DE Sucre</t>
  </si>
  <si>
    <t>MT020</t>
  </si>
  <si>
    <t>MT071</t>
  </si>
  <si>
    <t>MT049</t>
  </si>
  <si>
    <t>MT046</t>
  </si>
  <si>
    <t>MT036</t>
  </si>
  <si>
    <t>MT121</t>
  </si>
  <si>
    <t>MT423</t>
  </si>
  <si>
    <t>MT388</t>
  </si>
  <si>
    <t>MT077</t>
  </si>
  <si>
    <t>MT134</t>
  </si>
  <si>
    <t>MT192</t>
  </si>
  <si>
    <t>MT288</t>
  </si>
  <si>
    <t>2024</t>
  </si>
  <si>
    <t>2025 - 2024</t>
  </si>
  <si>
    <t>2025</t>
  </si>
  <si>
    <t>2027</t>
  </si>
  <si>
    <t>2024 - 2025</t>
  </si>
  <si>
    <t>2025 - 2027 - 2026</t>
  </si>
  <si>
    <t>Secretaría De Energia</t>
  </si>
  <si>
    <t>HOMOLOGADO. CONTRATADO</t>
  </si>
  <si>
    <t>CONTRACREDITO, SIN RECURSOS</t>
  </si>
  <si>
    <t>RECIBIDO PARCIALMENTE EN 2024. PARA TERMINAR EN 2025</t>
  </si>
  <si>
    <t>EJECUTADO EN SU TOTALIDAD EN EL 2024</t>
  </si>
  <si>
    <t>VALOR PROGRAMADO ACUERDO</t>
  </si>
  <si>
    <t>CONTRATADO POR EJECUTAR EN 2025</t>
  </si>
  <si>
    <t>SUMINISTRO DE MATERIAL DE FERRETERIA PARA ATENDER LA EMERGENCIA POR AMENZAS DE ORIFGEN NATURAL Y ANTROPICO QUE AFECTEN A LAS FAILIAS VULNERABLES DEL DEPARTAMENTO DE SUCRE</t>
  </si>
  <si>
    <t>MT419</t>
  </si>
  <si>
    <t>EJECUTADO Y FINALIZADO EN 2024</t>
  </si>
  <si>
    <t>APOYO OPERACIONAL Y LOGISTICO PARA ATENDER LA EMERGENCIA POR ORIGEN NATURAL Y ANTROPICO QUE AFECTAN LAS FAMILIAS VULNERABLES DEL DPTO DE SUCRE</t>
  </si>
  <si>
    <t>PENDIENTE POR PREGUNTAR. RECURSOS ASIGNADOS CON CDP Y RP PERO SIN ASIGNACION DE PROYECTO</t>
  </si>
  <si>
    <t>PENDIENTE POR PREGUNTAR. RECURSOS ASIGNADOS SIN CDP NI RP NI SOLICITUD DE TRAMITE</t>
  </si>
  <si>
    <t>PENDIENTE POR PREGUNTAR. RECURSOS DE TRANSFERENCIA. ACLARAR INDICADOR Y META</t>
  </si>
  <si>
    <t>PENDIENTE POR PREGUNTAR. TIENE SOLO CDP PERO NO RP. ACLARAR SI FUE EJECUTADO O NO</t>
  </si>
  <si>
    <t>PROGRAMA EN POAI 2024. PENDIENTE DE ASIGNAR INDICADOR Y META</t>
  </si>
  <si>
    <t>PENDIENTE DE ASIGNAR INDICADOR Y META</t>
  </si>
  <si>
    <t>PENDIENTE DE ASIGNAR INDICADOR DE META</t>
  </si>
  <si>
    <t>SE ASIGNARON RECURSOS Y SE EJECUTO EN LA VIGENCIA 2024 PERO NO TIENE ASIGNADO EL PROYECTO</t>
  </si>
  <si>
    <t xml:space="preserve">DEFINIR INDICADOR Y META </t>
  </si>
  <si>
    <t>ASIGNACION DE RECURSOS CON CDP Y RP PERO SIN ASIGNACION DE PROYECTO</t>
  </si>
  <si>
    <t>ASIGNAR INDICADOR Y META</t>
  </si>
  <si>
    <t>PROGRAMA EN POAI 2024. ASIGNAR INDICADOR Y META</t>
  </si>
  <si>
    <t>PROGRAMA EN POAI 2024. PREGUNTAR POR PROYECTOS</t>
  </si>
  <si>
    <t>FORTALECIMIENTO DE CAPACIDADES PARA ATENDER LA EMERGENCIA POR DENGUE EN EL DEPARTAMENTO DE SUCRE</t>
  </si>
  <si>
    <t>202400000002295</t>
  </si>
  <si>
    <t>EJECUTADO DE AU TOTALIDAD EN EL 2024</t>
  </si>
  <si>
    <t>NO SE EJECUTO EN 2024. QUEDO PARA EJECUTAR EN 2025</t>
  </si>
  <si>
    <t>PARA EJECUTAR EN 2025</t>
  </si>
  <si>
    <t>FINALIZO CON UNA EJECUCION DEL 39%</t>
  </si>
  <si>
    <t>CONTRATADO. PARA TERMINAR EN 2025</t>
  </si>
  <si>
    <t>DISTRIBUCION POR PROYECTOS EN PI</t>
  </si>
  <si>
    <t>NO</t>
  </si>
  <si>
    <t>MT011</t>
  </si>
  <si>
    <t>EN EJECUCUCION. PARA ENTREGAR EN 2025</t>
  </si>
  <si>
    <t>ESTA EN RESERVA PRESUPUESTAL</t>
  </si>
  <si>
    <t>CONTRATADO. PARA  EJECUTAR EN 2025 - 2026 Y 2027</t>
  </si>
  <si>
    <t>EN EJECUCION. PARA TERMINAR EN 2025</t>
  </si>
  <si>
    <t>NO SE EJECUTÓ</t>
  </si>
  <si>
    <t>ARRIENDO COLEGIOS</t>
  </si>
  <si>
    <t>CONTRATADO. PÁRA TERMINAR EN 2025</t>
  </si>
  <si>
    <t>MT045</t>
  </si>
  <si>
    <t>INDICADOR HOMOLOGADO</t>
  </si>
  <si>
    <t>EJECUTADO EN SU TOTALIDAD EN EL 2024. HOMOLOGADO</t>
  </si>
  <si>
    <t>RESERVA</t>
  </si>
  <si>
    <t>EJECUTADO EN SU TOTALIDAD EN 2024</t>
  </si>
  <si>
    <t>2027 - 2025 - 2026</t>
  </si>
  <si>
    <t>2025 - 2024 - 2027 - 2026</t>
  </si>
  <si>
    <t>HUBO CAMBIOS</t>
  </si>
  <si>
    <t>VIGENCIA PI V2</t>
  </si>
  <si>
    <t>VIGENCIA PI V1</t>
  </si>
  <si>
    <t>MT361</t>
  </si>
  <si>
    <t>CONVENIO SUSCRITO. PARA TERMINAR EN 2025</t>
  </si>
  <si>
    <t>OPS CONTRATADAS. PARA TERMINAR EN 2025</t>
  </si>
  <si>
    <t>MT379</t>
  </si>
  <si>
    <t>MT372</t>
  </si>
  <si>
    <t>CONTRATADO. PARA EJECUTAR EN 2025</t>
  </si>
  <si>
    <t>MT368</t>
  </si>
  <si>
    <t>VIGENCIA V3</t>
  </si>
  <si>
    <t>CAMBIOS RESPECTO A LA ACTUALIZACIÓN DE LA VERSIÓN 2</t>
  </si>
  <si>
    <t>CAMBIOS RESPECTO A LA ACTUALIZACIÓN DE LA VERSIÓN 3</t>
  </si>
  <si>
    <t>CLASIFICACIÓN RECURSOS</t>
  </si>
  <si>
    <t>SGP EDUCACION</t>
  </si>
  <si>
    <t>ICDE</t>
  </si>
  <si>
    <t>ICLD</t>
  </si>
  <si>
    <t>SGP SALUD</t>
  </si>
  <si>
    <t>SGP APSB</t>
  </si>
  <si>
    <t>MT266</t>
  </si>
  <si>
    <t>202400000002743</t>
  </si>
  <si>
    <t>MUNICIPIOS</t>
  </si>
  <si>
    <t>TODO EL DEPARTAMENTO</t>
  </si>
  <si>
    <t>SINCELEJO</t>
  </si>
  <si>
    <t>SAN LUIS DE SINCÉ</t>
  </si>
  <si>
    <t>SAMPUÉS</t>
  </si>
  <si>
    <t>LA UNIÓN</t>
  </si>
  <si>
    <t>BUENAVISTA</t>
  </si>
  <si>
    <t>COVEÑAS</t>
  </si>
  <si>
    <t>SANTIAGO DE TOLÚ</t>
  </si>
  <si>
    <t>COROZAL, GALERAS, LOS PALMITOS, MAJAGUAL, SAMPUÉS, SAN JUAN DE BETULIA, SAN MARCOS, SAN ONOFRE, SINCELEJO, CAIMITO, BUENAVISTA</t>
  </si>
  <si>
    <t>COROZAL, SAMPUÉS, OVEJAS, MAJAGUAL, GALERAS, SAN PEDRO</t>
  </si>
  <si>
    <t>GUARANDA, MAJAGUAL, SUCRE, CHALÁN, COLOSÓ, MORROA, OVEJAS, COVEÑAS, SAN ANTONIO DE PALMITO, SAN ONOFRE, SANTIAGO DE TOLÚ, TOLUVIEJO, BUENAVISTA, COROZAL, EL ROBLE, GALERAS, LOS PALMITOS, SAMPUÉS, SAN JUAN DE BETULIA, SAN PEDRO, SAN LUIS DE SINCÉ, CAIMITO, LA UNIÓN, SAN BENITO ABAD, SAN MARCOS, SINCELEJO</t>
  </si>
  <si>
    <t>COVEÑAS, SANTIAGO DE TOLÚ, SAN ONOFRE</t>
  </si>
  <si>
    <t>SAN MARCOS</t>
  </si>
  <si>
    <t>GUARANDA, MAJAGUAL, SUCRE, CHALÁN, COLOSÓ, MORROA, OVEJAS, COVEÑAS, SAN ANTONIO DE PALMITO, SAN ONOFRE, SANTIAGO DE TOLÚ, TOLUVIEJO, BUENAVISTA, COROZAL, EL ROBLE, GALERAS, LOS PALMITOS, SAMPUÉS, SAN JUAN DE BETULIA, SAN PEDRO, SAN LUIS DE SINCÉ, CAIMITO, LA UNIÓN, SAN BENITO ABAD, SAN MARCOS</t>
  </si>
  <si>
    <t>LA UNIÓN, SAN ANTONIO DE PALMITO, SAMPUÉS, SAN BENITO ABAD, SANTIAGO DE TOLÚ, OVEJAS, TOLUVIEJO</t>
  </si>
  <si>
    <t>SANTIAGO DE TOLÚ, COVEÑAS, SINCELEJO, CHALÁN, COLOSÓ, TOLUVIEJO, SAN ONOFRE, COROZAL, MORROA, SAN JUAN DE BETULIA, SAN LUIS DE SINCÉ, GALERAS, SUCRE</t>
  </si>
  <si>
    <t>COVEÑAS, SANTIAGO DE TOLÚ</t>
  </si>
  <si>
    <t>SAN BENITO ABAD, SAMPUÉS, COVEÑAS, SAN MARCOS, SANTIAGO DE TOLÚ</t>
  </si>
  <si>
    <t>SAN MARCOS, MAJAGUAL, GUARANDA, SAMPUÉS, SAN BENITO ABAD, SANTIAGO DE TOLÚ, SAN ONOFRE, COLOSÓ, SAN ANTONIO DE PALMITO, OVEJAS, SAN PEDRO</t>
  </si>
  <si>
    <t>GALERAS, MORROA, EL ROBLE, LA UNIÓN, TOLUVIEJO</t>
  </si>
  <si>
    <t>SINCELEJO, COVEÑAS</t>
  </si>
  <si>
    <t>SAN JUAN DE BETULIA</t>
  </si>
  <si>
    <t>SINCELEJO, COROZAL, SAN MARCOS, TOLUVIEJO, SANTIAGO DE TOLÚ, SAN ONOFRE, SAMPUÉS, MAJAGUAL, SAN LUIS DE SINCÉ, LOS PALMITOS</t>
  </si>
  <si>
    <t>EL ROBLE, COLOSÓ, SAN ONOFRE, SAN BENITO ABAD, SANTIAGO DE TOLÚ, CAIMITO, LA UNIÓN, MAJAGUAL</t>
  </si>
  <si>
    <t>LOS PALMITOS</t>
  </si>
  <si>
    <t>BUENAVISTA, CAIMITO, COVEÑAS, LOS PALMITOS, MORROA, OVEJAS, SAN ANTONIO DE PALMITO, SAMPUÉS, SAN BENITO ABAD, SAN JUAN DE BETULIA, SAN ONOFRE, SANTIAGO DE TOLÚ, SAN LUIS DE SINCÉ, TOLUVIEJO</t>
  </si>
  <si>
    <t>BUENAVISTA, CAIMITO, COLOSÓ, COROZAL, CHALÁN, COVEÑAS, EL ROBLE, GALERAS, GUARANDA, LA UNIÓN, LOS PALMITOS, MAJAGUAL, MORROA, OVEJAS, SAN ANTONIO DE PALMITO, SAMPUÉS, SAN BENITO ABAD, SAN JUAN DE BETULIA, SAN LUIS DE SINCÉ, SAN MARCOS, SAN ONOFRE, SAN PEDRO, SANTIAGO DE TOLÚ, SUCRE, TOLUVIEJO</t>
  </si>
  <si>
    <t>COROZAL, MORROA, LOS PALMITOS, SAMPUÉS, SAN JUAN DE BETULIA, SAN LUIS DE SINCÉ</t>
  </si>
  <si>
    <t>SUCRE, SANTIAGO DE TOLÚ, SAN PEDRO, SAN ONOFRE, SAN MARCOS, SAN LUIS DE SINCÉ, SAN JUAN DE BETULIA, TOLUVIEJO, SAN BENITO ABAD, SAMPUÉS</t>
  </si>
  <si>
    <t>OVEJAS</t>
  </si>
  <si>
    <t>SAN MARCOS, SAN ONOFRE</t>
  </si>
  <si>
    <t>BUENAVISTA, CAIMITO, CHALÁN, COLOSÓ, COROZAL, EL ROBLE, GALERAS, GUARANDA, LA UNIÓN, LOS PALMITOS, MAJAGUAL, MORROA, OVEJAS, SAN ANTONIO DE PALMITO, SAMPUÉS, SAN BENITO ABAD, SINCELEJO, SAN JUAN DE BETULIA, SAN MARCOS, SAN ONOFRE, SAN PEDRO, SANTIAGO DE TOLÚ, SUCRE, SANTIAGO DE TOLÚ</t>
  </si>
  <si>
    <t>TOLUVIEJO, GUARANDA, EL ROBLE, SAN JUAN DE BETULIA, SAN PEDRO, SUCRE, MORROA, CAIMITO, SAN ONOFRE, SAN MARCOS, SINCELEJO, SANTIAGO DE TOLÚ, OVEJAS, CHALÁN</t>
  </si>
  <si>
    <t>MAJAGUAL, SAN MARCOS, GUARANDA, SUCRE, CAIMITO, SAN BENITO ABAD, LA UNIÓN</t>
  </si>
  <si>
    <t>Apoyo a procesos de reubicación de familias en alto riesgo en la Urbanización Villa Paz 2024-2027 Municipio de Sincelejo Departamento de Sucre.</t>
  </si>
  <si>
    <t>APROBADO CON BPIN 2023002700172-SUCRE DIFERENTE-HOMOLOGAR
EL BPIN CON EL QUE ESTÁ REPORTADO POR HACIENDA ES: 2021002700324, sin embargo, se hace el ajuste para que se refleje el pago</t>
  </si>
  <si>
    <t>2023002700172</t>
  </si>
  <si>
    <t>MT136</t>
  </si>
  <si>
    <t>COFINANCIACIÓN NACIÓN</t>
  </si>
  <si>
    <t>OTROS PAGOS RELACIONADOS</t>
  </si>
  <si>
    <t>MT261</t>
  </si>
  <si>
    <t>2021002700249</t>
  </si>
  <si>
    <t>CONSTRUCCIÓN DE VIVIENDAS PARA EL FORTALECIMIENTO DE LA POLÍTICA DE VIVIENDA RURAL VIVIENDA SOCIAL PARA EL CAMPO EN EL DEPARTAMENTO DE SUCRE</t>
  </si>
  <si>
    <t>CASA DIGNA VIDA DIGNA 2023 (CONVENIO 008/2022)</t>
  </si>
  <si>
    <t>CONVENIO INFRAESTRUCTURA</t>
  </si>
  <si>
    <t>OTROS PAGOS RELACIONADOS. VERIFICAR MUNICIPIOS</t>
  </si>
  <si>
    <t>AGUAS DE SUCRE</t>
  </si>
  <si>
    <t>MT269</t>
  </si>
  <si>
    <t>COFINANCIACIÓN MUNICIPIO</t>
  </si>
  <si>
    <t>MT270</t>
  </si>
  <si>
    <t>MT271</t>
  </si>
  <si>
    <t>MT275</t>
  </si>
  <si>
    <t>MT276</t>
  </si>
  <si>
    <t>MT278</t>
  </si>
  <si>
    <t>MT280</t>
  </si>
  <si>
    <t>KIAT COREA</t>
  </si>
  <si>
    <t>OTRAS FUENTES</t>
  </si>
  <si>
    <t>MINAS Y ENERGÍA</t>
  </si>
  <si>
    <t>MT314</t>
  </si>
  <si>
    <t>INFRAESTRUCTURA</t>
  </si>
  <si>
    <t>MT329</t>
  </si>
  <si>
    <t>MT268</t>
  </si>
  <si>
    <t>EN EJECUCION. PARA TERMINAR EN 2025 (NO CARGAR EJECUCIÓN FINANCIERA DE ENTRE PROYECTO EN 2025)</t>
  </si>
  <si>
    <t>NOMBRE RUBRO - NOMBRE RECURSO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</si>
</sst>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 #,##0.00_-;\-&quot;$&quot;\ * #,##0.00_-;_-&quot;$&quot;\ * &quot;-&quot;??_-;_-@_-"/>
    <numFmt numFmtId="43" formatCode="_-* #,##0.00_-;\-* #,##0.00_-;_-* &quot;-&quot;??_-;_-@_-"/>
    <numFmt numFmtId="164" formatCode="0#########"/>
    <numFmt numFmtId="165" formatCode="&quot;$&quot;\ #,##0.00"/>
  </numFmts>
  <fonts count="11" x14ac:knownFonts="1">
    <font>
      <sz val="11"/>
      <color theme="1"/>
      <name val="Aptos Narrow"/>
      <family val="2"/>
      <scheme val="minor"/>
    </font>
    <font>
      <sz val="11"/>
      <color theme="1"/>
      <name val="Aptos Narrow"/>
      <family val="2"/>
      <scheme val="minor"/>
    </font>
    <font>
      <sz val="8"/>
      <name val="Aptos Narrow"/>
      <family val="2"/>
      <scheme val="minor"/>
    </font>
    <font>
      <sz val="11"/>
      <color theme="1"/>
      <name val="Calibri"/>
      <family val="2"/>
    </font>
    <font>
      <b/>
      <sz val="11"/>
      <color theme="0"/>
      <name val="Calibri"/>
      <family val="2"/>
    </font>
    <font>
      <b/>
      <sz val="11"/>
      <color theme="1"/>
      <name val="Calibri"/>
      <family val="2"/>
    </font>
    <font>
      <sz val="11"/>
      <color theme="0"/>
      <name val="Calibri"/>
      <family val="2"/>
    </font>
    <font>
      <sz val="11"/>
      <name val="Calibri"/>
      <family val="2"/>
    </font>
    <font>
      <sz val="11"/>
      <color theme="9"/>
      <name val="Calibri"/>
      <family val="2"/>
    </font>
    <font>
      <sz val="11"/>
      <color rgb="FFFF0000"/>
      <name val="Calibri"/>
      <family val="2"/>
    </font>
    <font>
      <b/>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5"/>
        <bgColor indexed="64"/>
      </patternFill>
    </fill>
    <fill>
      <patternFill patternType="solid">
        <fgColor theme="8" tint="0.59999389629810485"/>
        <bgColor indexed="64"/>
      </patternFill>
    </fill>
    <fill>
      <patternFill patternType="solid">
        <fgColor theme="8"/>
        <bgColor indexed="64"/>
      </patternFill>
    </fill>
    <fill>
      <patternFill patternType="solid">
        <fgColor theme="5"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97">
    <xf numFmtId="0" fontId="0" fillId="0" borderId="0" xfId="0"/>
    <xf numFmtId="0" fontId="3" fillId="0" borderId="0" xfId="0" applyFont="1"/>
    <xf numFmtId="49" fontId="3" fillId="5" borderId="1" xfId="0" applyNumberFormat="1" applyFont="1" applyFill="1" applyBorder="1" applyAlignment="1">
      <alignment horizontal="center" vertical="center" wrapText="1"/>
    </xf>
    <xf numFmtId="49" fontId="3" fillId="5" borderId="1" xfId="0" applyNumberFormat="1" applyFont="1" applyFill="1" applyBorder="1" applyAlignment="1">
      <alignment vertical="center" wrapText="1"/>
    </xf>
    <xf numFmtId="4" fontId="3" fillId="5" borderId="1" xfId="0" applyNumberFormat="1" applyFont="1" applyFill="1" applyBorder="1" applyAlignment="1">
      <alignment vertical="center" wrapText="1"/>
    </xf>
    <xf numFmtId="0" fontId="3" fillId="0" borderId="0" xfId="0" applyFont="1" applyAlignment="1">
      <alignment horizontal="center" vertical="center"/>
    </xf>
    <xf numFmtId="0" fontId="3" fillId="0" borderId="0" xfId="0" applyFont="1" applyAlignment="1">
      <alignment horizontal="center"/>
    </xf>
    <xf numFmtId="4" fontId="3" fillId="0" borderId="0" xfId="0" applyNumberFormat="1" applyFont="1"/>
    <xf numFmtId="0" fontId="3" fillId="0" borderId="1" xfId="0" applyFont="1" applyBorder="1" applyAlignment="1">
      <alignment horizontal="center" vertical="center" wrapText="1"/>
    </xf>
    <xf numFmtId="4" fontId="3" fillId="0" borderId="1" xfId="0" applyNumberFormat="1" applyFont="1" applyBorder="1" applyAlignment="1">
      <alignment horizontal="center" vertical="center" wrapText="1"/>
    </xf>
    <xf numFmtId="0" fontId="3" fillId="9"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4" fontId="5" fillId="5" borderId="1"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vertical="center" wrapText="1"/>
    </xf>
    <xf numFmtId="4" fontId="3" fillId="2" borderId="1" xfId="0" applyNumberFormat="1" applyFont="1" applyFill="1" applyBorder="1" applyAlignment="1">
      <alignment horizontal="center" vertical="center" wrapText="1"/>
    </xf>
    <xf numFmtId="4" fontId="5" fillId="6" borderId="1" xfId="0" applyNumberFormat="1"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4" fillId="7" borderId="1" xfId="0" applyFont="1" applyFill="1" applyBorder="1" applyAlignment="1">
      <alignment horizontal="center" vertical="center" wrapText="1"/>
    </xf>
    <xf numFmtId="4" fontId="3" fillId="5" borderId="1" xfId="0" applyNumberFormat="1" applyFont="1" applyFill="1" applyBorder="1" applyAlignment="1">
      <alignment horizontal="center" vertical="center" wrapText="1"/>
    </xf>
    <xf numFmtId="0" fontId="3" fillId="5" borderId="1" xfId="1" applyNumberFormat="1" applyFont="1" applyFill="1" applyBorder="1" applyAlignment="1">
      <alignment horizontal="center" vertical="center" wrapText="1"/>
    </xf>
    <xf numFmtId="49" fontId="3" fillId="8" borderId="1" xfId="0" applyNumberFormat="1" applyFont="1" applyFill="1" applyBorder="1" applyAlignment="1">
      <alignment vertical="center" wrapText="1"/>
    </xf>
    <xf numFmtId="49" fontId="3" fillId="8" borderId="1" xfId="0" applyNumberFormat="1" applyFont="1" applyFill="1" applyBorder="1" applyAlignment="1">
      <alignment horizontal="center" vertical="center" wrapText="1"/>
    </xf>
    <xf numFmtId="4" fontId="3" fillId="8" borderId="1" xfId="0" applyNumberFormat="1" applyFont="1" applyFill="1" applyBorder="1" applyAlignment="1">
      <alignment vertical="center" wrapText="1"/>
    </xf>
    <xf numFmtId="4" fontId="3" fillId="8" borderId="1" xfId="0" applyNumberFormat="1" applyFont="1" applyFill="1" applyBorder="1" applyAlignment="1">
      <alignment horizontal="center" vertical="center" wrapText="1"/>
    </xf>
    <xf numFmtId="0" fontId="3" fillId="8" borderId="1" xfId="1" applyNumberFormat="1" applyFont="1" applyFill="1" applyBorder="1" applyAlignment="1">
      <alignment horizontal="center" vertical="center" wrapText="1"/>
    </xf>
    <xf numFmtId="0" fontId="3" fillId="2" borderId="0" xfId="0" applyFont="1" applyFill="1"/>
    <xf numFmtId="0" fontId="3" fillId="5" borderId="1" xfId="0" applyFont="1" applyFill="1" applyBorder="1" applyAlignment="1">
      <alignment horizontal="center" vertical="center" wrapText="1"/>
    </xf>
    <xf numFmtId="49" fontId="3" fillId="3" borderId="1" xfId="0" applyNumberFormat="1" applyFont="1" applyFill="1" applyBorder="1" applyAlignment="1">
      <alignment vertical="center" wrapText="1"/>
    </xf>
    <xf numFmtId="49" fontId="3" fillId="3" borderId="1" xfId="0" applyNumberFormat="1" applyFont="1" applyFill="1" applyBorder="1" applyAlignment="1">
      <alignment horizontal="center" vertical="center" wrapText="1"/>
    </xf>
    <xf numFmtId="4" fontId="3" fillId="3" borderId="1" xfId="0" applyNumberFormat="1" applyFont="1" applyFill="1" applyBorder="1" applyAlignment="1">
      <alignment vertical="center" wrapText="1"/>
    </xf>
    <xf numFmtId="4" fontId="3" fillId="3" borderId="1" xfId="0" applyNumberFormat="1" applyFont="1" applyFill="1" applyBorder="1" applyAlignment="1">
      <alignment horizontal="center" vertical="center" wrapText="1"/>
    </xf>
    <xf numFmtId="49" fontId="3" fillId="4" borderId="1" xfId="0" applyNumberFormat="1" applyFont="1" applyFill="1" applyBorder="1" applyAlignment="1">
      <alignment vertical="center" wrapText="1"/>
    </xf>
    <xf numFmtId="49" fontId="3" fillId="4" borderId="1" xfId="0" applyNumberFormat="1" applyFont="1" applyFill="1" applyBorder="1" applyAlignment="1">
      <alignment horizontal="center" vertical="center" wrapText="1"/>
    </xf>
    <xf numFmtId="4" fontId="3" fillId="4" borderId="1" xfId="0" applyNumberFormat="1" applyFont="1" applyFill="1" applyBorder="1" applyAlignment="1">
      <alignment vertical="center" wrapText="1"/>
    </xf>
    <xf numFmtId="4" fontId="3" fillId="4" borderId="1" xfId="0" applyNumberFormat="1" applyFont="1" applyFill="1" applyBorder="1" applyAlignment="1">
      <alignment horizontal="center" vertical="center" wrapText="1"/>
    </xf>
    <xf numFmtId="49" fontId="3" fillId="6" borderId="1" xfId="0" applyNumberFormat="1" applyFont="1" applyFill="1" applyBorder="1" applyAlignment="1">
      <alignment vertical="center" wrapText="1"/>
    </xf>
    <xf numFmtId="49" fontId="3" fillId="6" borderId="1" xfId="0" applyNumberFormat="1" applyFont="1" applyFill="1" applyBorder="1" applyAlignment="1">
      <alignment horizontal="center" vertical="center" wrapText="1"/>
    </xf>
    <xf numFmtId="4" fontId="3" fillId="6" borderId="1" xfId="0" applyNumberFormat="1" applyFont="1" applyFill="1" applyBorder="1" applyAlignment="1">
      <alignment vertical="center" wrapText="1"/>
    </xf>
    <xf numFmtId="4" fontId="3" fillId="6" borderId="1" xfId="2" applyNumberFormat="1" applyFont="1" applyFill="1" applyBorder="1" applyAlignment="1">
      <alignment vertical="center" wrapText="1"/>
    </xf>
    <xf numFmtId="4"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2" borderId="1" xfId="0" applyFont="1" applyFill="1" applyBorder="1" applyAlignment="1">
      <alignment vertical="center" wrapText="1"/>
    </xf>
    <xf numFmtId="49" fontId="5" fillId="5" borderId="1" xfId="0" applyNumberFormat="1" applyFont="1" applyFill="1" applyBorder="1" applyAlignment="1">
      <alignment horizontal="center" vertical="center" wrapText="1"/>
    </xf>
    <xf numFmtId="49" fontId="6" fillId="7" borderId="1" xfId="0" applyNumberFormat="1" applyFont="1" applyFill="1" applyBorder="1" applyAlignment="1">
      <alignment vertical="center" wrapText="1"/>
    </xf>
    <xf numFmtId="49" fontId="6" fillId="7" borderId="1" xfId="0" applyNumberFormat="1" applyFont="1" applyFill="1" applyBorder="1" applyAlignment="1">
      <alignment horizontal="center" vertical="center" wrapText="1"/>
    </xf>
    <xf numFmtId="4" fontId="6" fillId="7" borderId="1" xfId="0" applyNumberFormat="1" applyFont="1" applyFill="1" applyBorder="1" applyAlignment="1">
      <alignment vertical="center" wrapText="1"/>
    </xf>
    <xf numFmtId="4" fontId="6" fillId="7" borderId="1" xfId="0" applyNumberFormat="1" applyFont="1" applyFill="1" applyBorder="1" applyAlignment="1">
      <alignment horizontal="center" vertical="center" wrapText="1"/>
    </xf>
    <xf numFmtId="0" fontId="6" fillId="7" borderId="1" xfId="1" applyNumberFormat="1" applyFont="1" applyFill="1" applyBorder="1" applyAlignment="1">
      <alignment horizontal="center" vertical="center" wrapText="1"/>
    </xf>
    <xf numFmtId="0" fontId="3" fillId="8"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5" borderId="1" xfId="0" applyNumberFormat="1" applyFont="1" applyFill="1" applyBorder="1" applyAlignment="1">
      <alignment horizontal="center" vertical="center" wrapText="1"/>
    </xf>
    <xf numFmtId="49" fontId="9" fillId="5" borderId="1" xfId="0" applyNumberFormat="1" applyFont="1" applyFill="1" applyBorder="1" applyAlignment="1">
      <alignment horizontal="center" vertical="center" wrapText="1"/>
    </xf>
    <xf numFmtId="49" fontId="8" fillId="6" borderId="1" xfId="0" applyNumberFormat="1" applyFont="1" applyFill="1" applyBorder="1" applyAlignment="1">
      <alignment horizontal="center" vertical="center" wrapText="1"/>
    </xf>
    <xf numFmtId="164" fontId="3" fillId="5" borderId="1" xfId="1" applyNumberFormat="1" applyFont="1" applyFill="1" applyBorder="1" applyAlignment="1">
      <alignment horizontal="center" vertical="center" wrapText="1"/>
    </xf>
    <xf numFmtId="4" fontId="3" fillId="10" borderId="1" xfId="0" applyNumberFormat="1" applyFont="1" applyFill="1" applyBorder="1" applyAlignment="1">
      <alignment horizontal="center" vertical="center" wrapText="1"/>
    </xf>
    <xf numFmtId="49" fontId="7" fillId="5" borderId="1" xfId="0" applyNumberFormat="1" applyFont="1" applyFill="1" applyBorder="1" applyAlignment="1">
      <alignment vertical="center" wrapText="1"/>
    </xf>
    <xf numFmtId="49" fontId="7" fillId="5" borderId="1" xfId="0" applyNumberFormat="1" applyFont="1" applyFill="1" applyBorder="1" applyAlignment="1">
      <alignment horizontal="center" vertical="center" wrapText="1"/>
    </xf>
    <xf numFmtId="4" fontId="7" fillId="5" borderId="1" xfId="0" applyNumberFormat="1" applyFont="1" applyFill="1" applyBorder="1" applyAlignment="1">
      <alignment vertical="center" wrapText="1"/>
    </xf>
    <xf numFmtId="4" fontId="7" fillId="5" borderId="1" xfId="0" applyNumberFormat="1" applyFont="1" applyFill="1" applyBorder="1" applyAlignment="1">
      <alignment horizontal="center" vertical="center" wrapText="1"/>
    </xf>
    <xf numFmtId="49" fontId="7" fillId="3" borderId="1" xfId="0" applyNumberFormat="1" applyFont="1" applyFill="1" applyBorder="1" applyAlignment="1">
      <alignment vertical="center" wrapText="1"/>
    </xf>
    <xf numFmtId="49" fontId="7" fillId="3" borderId="1" xfId="0" applyNumberFormat="1" applyFont="1" applyFill="1" applyBorder="1" applyAlignment="1">
      <alignment horizontal="center" vertical="center" wrapText="1"/>
    </xf>
    <xf numFmtId="4" fontId="7" fillId="3" borderId="1" xfId="0" applyNumberFormat="1" applyFont="1" applyFill="1" applyBorder="1" applyAlignment="1">
      <alignment vertical="center" wrapText="1"/>
    </xf>
    <xf numFmtId="4" fontId="7" fillId="3" borderId="1" xfId="0" applyNumberFormat="1" applyFont="1" applyFill="1" applyBorder="1" applyAlignment="1">
      <alignment horizontal="center" vertical="center" wrapText="1"/>
    </xf>
    <xf numFmtId="0" fontId="3" fillId="2" borderId="2" xfId="0" applyFont="1" applyFill="1" applyBorder="1" applyAlignment="1">
      <alignment vertical="center" wrapText="1"/>
    </xf>
    <xf numFmtId="0" fontId="3" fillId="2" borderId="2" xfId="0" applyFont="1" applyFill="1" applyBorder="1" applyAlignment="1">
      <alignment horizontal="center" vertical="center" wrapText="1"/>
    </xf>
    <xf numFmtId="0" fontId="3" fillId="2" borderId="2" xfId="0" quotePrefix="1" applyFont="1" applyFill="1" applyBorder="1" applyAlignment="1">
      <alignment horizontal="center" vertical="center" wrapText="1"/>
    </xf>
    <xf numFmtId="49" fontId="3" fillId="2" borderId="2" xfId="0" applyNumberFormat="1" applyFont="1" applyFill="1" applyBorder="1" applyAlignment="1">
      <alignment vertical="center" wrapText="1"/>
    </xf>
    <xf numFmtId="4" fontId="3" fillId="2" borderId="2" xfId="0" applyNumberFormat="1" applyFont="1" applyFill="1" applyBorder="1" applyAlignment="1">
      <alignment vertical="center" wrapText="1"/>
    </xf>
    <xf numFmtId="4" fontId="3" fillId="2" borderId="2"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quotePrefix="1" applyFont="1" applyFill="1" applyBorder="1" applyAlignment="1">
      <alignment horizontal="center" vertical="center" wrapText="1"/>
    </xf>
    <xf numFmtId="0" fontId="0" fillId="0" borderId="0" xfId="0" applyAlignment="1">
      <alignment horizontal="center" vertical="center"/>
    </xf>
    <xf numFmtId="4" fontId="0" fillId="0" borderId="0" xfId="0" applyNumberFormat="1"/>
    <xf numFmtId="0" fontId="0" fillId="0" borderId="1" xfId="0" applyBorder="1"/>
    <xf numFmtId="4" fontId="0" fillId="0" borderId="1" xfId="0" applyNumberFormat="1" applyBorder="1"/>
    <xf numFmtId="1" fontId="3" fillId="2" borderId="1" xfId="0" applyNumberFormat="1" applyFont="1" applyFill="1" applyBorder="1" applyAlignment="1">
      <alignment horizontal="center" vertical="center" wrapText="1"/>
    </xf>
    <xf numFmtId="1" fontId="3" fillId="2" borderId="2" xfId="0" applyNumberFormat="1" applyFont="1" applyFill="1" applyBorder="1" applyAlignment="1">
      <alignment horizontal="center" vertical="center" wrapText="1"/>
    </xf>
    <xf numFmtId="0" fontId="0" fillId="0" borderId="0" xfId="0" applyAlignment="1">
      <alignment horizontal="center"/>
    </xf>
    <xf numFmtId="0" fontId="3" fillId="4" borderId="1" xfId="1" applyNumberFormat="1" applyFont="1" applyFill="1" applyBorder="1" applyAlignment="1">
      <alignment horizontal="center" vertical="center" wrapText="1"/>
    </xf>
    <xf numFmtId="0" fontId="3" fillId="3" borderId="1" xfId="1" applyNumberFormat="1" applyFont="1" applyFill="1" applyBorder="1" applyAlignment="1">
      <alignment horizontal="center" vertical="center" wrapText="1"/>
    </xf>
    <xf numFmtId="0" fontId="3" fillId="2" borderId="1" xfId="1" applyNumberFormat="1" applyFont="1" applyFill="1" applyBorder="1" applyAlignment="1">
      <alignment horizontal="center" vertical="center" wrapText="1"/>
    </xf>
    <xf numFmtId="0" fontId="3" fillId="6" borderId="1" xfId="1"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5" borderId="1" xfId="1" applyNumberFormat="1" applyFont="1" applyFill="1" applyBorder="1" applyAlignment="1">
      <alignment horizontal="center" vertical="center" wrapText="1"/>
    </xf>
    <xf numFmtId="0" fontId="7" fillId="3" borderId="1" xfId="1" applyNumberFormat="1" applyFont="1" applyFill="1" applyBorder="1" applyAlignment="1">
      <alignment horizontal="center" vertical="center" wrapText="1"/>
    </xf>
    <xf numFmtId="165" fontId="10" fillId="0" borderId="0" xfId="0" applyNumberFormat="1" applyFont="1" applyAlignment="1">
      <alignment horizontal="center"/>
    </xf>
    <xf numFmtId="2" fontId="3" fillId="6" borderId="1" xfId="0" applyNumberFormat="1" applyFont="1" applyFill="1" applyBorder="1" applyAlignment="1">
      <alignment horizontal="center" vertical="center" wrapText="1"/>
    </xf>
    <xf numFmtId="4" fontId="3" fillId="2" borderId="3" xfId="0" applyNumberFormat="1" applyFont="1" applyFill="1" applyBorder="1" applyAlignment="1">
      <alignment vertical="center" wrapText="1"/>
    </xf>
    <xf numFmtId="0" fontId="3" fillId="0" borderId="3" xfId="0" applyFont="1" applyBorder="1" applyAlignment="1">
      <alignment horizontal="center" vertical="center" wrapText="1"/>
    </xf>
    <xf numFmtId="0" fontId="5" fillId="2" borderId="1" xfId="0" applyFont="1" applyFill="1" applyBorder="1" applyAlignment="1">
      <alignment horizontal="center" vertical="center"/>
    </xf>
    <xf numFmtId="0" fontId="5" fillId="0" borderId="1" xfId="0" applyFont="1" applyBorder="1" applyAlignment="1">
      <alignment horizontal="center" vertical="center"/>
    </xf>
  </cellXfs>
  <cellStyles count="3">
    <cellStyle name="Millares" xfId="1" builtinId="3"/>
    <cellStyle name="Moneda" xfId="2" builtinId="4"/>
    <cellStyle name="Normal" xfId="0" builtinId="0"/>
  </cellStyles>
  <dxfs count="67">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30" formatCode="@"/>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4" formatCode="#,##0.00"/>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numFmt numFmtId="30" formatCode="@"/>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1" formatCode="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30" formatCode="@"/>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4" formatCode="#,##0.00"/>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numFmt numFmtId="30" formatCode="@"/>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fill>
        <patternFill patternType="solid">
          <fgColor indexed="64"/>
          <bgColor theme="0"/>
        </patternFill>
      </fill>
      <alignmen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fill>
        <patternFill patternType="solid">
          <fgColor indexed="64"/>
          <bgColor theme="0"/>
        </patternFill>
      </fill>
      <alignment vertical="center" textRotation="0" wrapText="1" indent="0" justifyLastLine="0" shrinkToFit="0" readingOrder="0"/>
    </dxf>
    <dxf>
      <border>
        <bottom style="thin">
          <color indexed="64"/>
        </bottom>
      </border>
    </dxf>
    <dxf>
      <font>
        <strike val="0"/>
        <outline val="0"/>
        <shadow val="0"/>
        <u val="none"/>
        <vertAlign val="baseline"/>
        <sz val="11"/>
        <name val="Calibri"/>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2E83134D-22B5-480E-AB9F-A6FD451AAAF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ESTADO_PPTO_GASTO_GOBATL_FYCC">
        <xsd:complexType>
          <xsd:sequence minOccurs="0">
            <xsd:element minOccurs="0" nillable="true" name="LIST_G_CLASE" form="unqualified">
              <xsd:complexType>
                <xsd:sequence minOccurs="0">
                  <xsd:element minOccurs="0" maxOccurs="unbounded" nillable="true" name="G_CLASE" form="unqualified">
                    <xsd:complexType>
                      <xsd:sequence minOccurs="0">
                        <xsd:element minOccurs="0" nillable="true" type="xsd:integer" name="RUBRO_ID" form="unqualified"/>
                        <xsd:element minOccurs="0" nillable="true" type="xsd:string" name="RUBRO" form="unqualified"/>
                        <xsd:element minOccurs="0" nillable="true" type="xsd:string" name="NOMBRE_RUBRO" form="unqualified"/>
                        <xsd:element minOccurs="0" nillable="true" type="xsd:string" name="RECURSO" form="unqualified"/>
                        <xsd:element minOccurs="0" nillable="true" type="xsd:string" name="NOMBRE_RECURSO" form="unqualified"/>
                        <xsd:element minOccurs="0" nillable="true" type="xsd:string" name="CENTROCOSTO" form="unqualified"/>
                        <xsd:element minOccurs="0" nillable="true" type="xsd:string" name="NOMBRE_CENTROCOSTO" form="unqualified"/>
                        <xsd:element minOccurs="0" nillable="true" type="xsd:string" name="PROYECTO" form="unqualified"/>
                        <xsd:element minOccurs="0" nillable="true" type="xsd:double" name="APROPIACION_INICIAL" form="unqualified"/>
                        <xsd:element minOccurs="0" nillable="true" type="xsd:double" name="ADICION" form="unqualified"/>
                        <xsd:element minOccurs="0" nillable="true" type="xsd:integer" name="DISMINUCION" form="unqualified"/>
                        <xsd:element minOccurs="0" nillable="true" type="xsd:double" name="CREDITO" form="unqualified"/>
                        <xsd:element minOccurs="0" nillable="true" type="xsd:double" name="CONTRACREDITO" form="unqualified"/>
                        <xsd:element minOccurs="0" nillable="true" type="xsd:integer" name="APLAZAMIENTOS" form="unqualified"/>
                        <xsd:element minOccurs="0" nillable="true" type="xsd:integer" name="DESAPLAZAMIENTOS" form="unqualified"/>
                        <xsd:element minOccurs="0" nillable="true" type="xsd:string" name="APROPIACION_DEFINITIVA" form="unqualified"/>
                        <xsd:element minOccurs="0" nillable="true" type="xsd:double" name="SOLICITUD_TRAMITE" form="unqualified"/>
                        <xsd:element minOccurs="0" nillable="true" type="xsd:double" name="CDP" form="unqualified"/>
                        <xsd:element minOccurs="0" nillable="true" type="xsd:double" name="RP" form="unqualified"/>
                        <xsd:element minOccurs="0" nillable="true" type="xsd:double" name="OBLIGACION" form="unqualified"/>
                        <xsd:element minOccurs="0" nillable="true" type="xsd:double" name="PAGO" form="unqualified"/>
                        <xsd:element minOccurs="0" nillable="true" type="xsd:string" name="DISPONIBLE" form="unqualified"/>
                      </xsd:sequence>
                    </xsd:complexType>
                  </xsd:element>
                </xsd:sequence>
              </xsd:complexType>
            </xsd:element>
          </xsd:sequence>
        </xsd:complexType>
      </xsd:element>
    </xsd:schema>
  </Schema>
  <Map ID="1" Name="ESTADO_PPTO_GASTO_GOBATL_FYCC_Map" RootElement="ESTADO_PPTO_GASTO_GOBATL_FYCC"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connections" Target="connection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openxmlformats.org/officeDocument/2006/relationships/xmlMaps" Target="xmlMap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52AE8C-DBA3-4BD2-9C8A-185BDDCCE638}" name="EjecucionHaciendaDiciembre" displayName="EjecucionHaciendaDiciembre" ref="A4:AF381" tableType="xml" totalsRowCount="1" headerRowDxfId="66" dataDxfId="64" headerRowBorderDxfId="65" connectionId="1">
  <autoFilter ref="A4:AF380" xr:uid="{5352AE8C-DBA3-4BD2-9C8A-185BDDCCE638}"/>
  <tableColumns count="32">
    <tableColumn id="2" xr3:uid="{00000000-0010-0000-0100-000002000000}" uniqueName="RUBRO" name="RUBRO" dataDxfId="63" totalsRowDxfId="31">
      <xmlColumnPr mapId="1" xpath="/ESTADO_PPTO_GASTO_GOBATL_FYCC/LIST_G_CLASE/G_CLASE/RUBRO" xmlDataType="string"/>
    </tableColumn>
    <tableColumn id="3" xr3:uid="{00000000-0010-0000-0100-000003000000}" uniqueName="NOMBRE_RUBRO" name="NOMBRE_RUBRO" dataDxfId="62" totalsRowDxfId="30">
      <xmlColumnPr mapId="1" xpath="/ESTADO_PPTO_GASTO_GOBATL_FYCC/LIST_G_CLASE/G_CLASE/NOMBRE_RUBRO" xmlDataType="string"/>
    </tableColumn>
    <tableColumn id="4" xr3:uid="{00000000-0010-0000-0100-000004000000}" uniqueName="RECURSO" name="RECURSO" dataDxfId="61" totalsRowDxfId="29">
      <xmlColumnPr mapId="1" xpath="/ESTADO_PPTO_GASTO_GOBATL_FYCC/LIST_G_CLASE/G_CLASE/RECURSO" xmlDataType="string"/>
    </tableColumn>
    <tableColumn id="5" xr3:uid="{00000000-0010-0000-0100-000005000000}" uniqueName="NOMBRE_RECURSO" name="NOMBRE_RECURSO" dataDxfId="60" totalsRowDxfId="28">
      <xmlColumnPr mapId="1" xpath="/ESTADO_PPTO_GASTO_GOBATL_FYCC/LIST_G_CLASE/G_CLASE/NOMBRE_RECURSO" xmlDataType="string"/>
    </tableColumn>
    <tableColumn id="6" xr3:uid="{00000000-0010-0000-0100-000006000000}" uniqueName="CENTROCOSTO" name="CENTROCOSTO" dataDxfId="59" totalsRowDxfId="27">
      <xmlColumnPr mapId="1" xpath="/ESTADO_PPTO_GASTO_GOBATL_FYCC/LIST_G_CLASE/G_CLASE/CENTROCOSTO" xmlDataType="string"/>
    </tableColumn>
    <tableColumn id="7" xr3:uid="{00000000-0010-0000-0100-000007000000}" uniqueName="NOMBRE_CENTROCOSTO" name="NOMBRE_CENTROCOSTO" dataDxfId="58" totalsRowDxfId="26">
      <xmlColumnPr mapId="1" xpath="/ESTADO_PPTO_GASTO_GOBATL_FYCC/LIST_G_CLASE/G_CLASE/NOMBRE_CENTROCOSTO" xmlDataType="string"/>
    </tableColumn>
    <tableColumn id="8" xr3:uid="{00000000-0010-0000-0100-000008000000}" uniqueName="PROYECTO" name="PROYECTO" dataDxfId="57" totalsRowDxfId="25">
      <xmlColumnPr mapId="1" xpath="/ESTADO_PPTO_GASTO_GOBATL_FYCC/LIST_G_CLASE/G_CLASE/PROYECTO" xmlDataType="string"/>
    </tableColumn>
    <tableColumn id="23" xr3:uid="{00000000-0010-0000-0100-000017000000}" uniqueName="23" name="NOMBRE PROYECTO" dataDxfId="56" totalsRowDxfId="24"/>
    <tableColumn id="9" xr3:uid="{00000000-0010-0000-0100-000009000000}" uniqueName="APROPIACION_INICIAL" name="APROPIACION_INICIAL" dataDxfId="55" totalsRowDxfId="23">
      <xmlColumnPr mapId="1" xpath="/ESTADO_PPTO_GASTO_GOBATL_FYCC/LIST_G_CLASE/G_CLASE/APROPIACION_INICIAL" xmlDataType="double"/>
    </tableColumn>
    <tableColumn id="10" xr3:uid="{00000000-0010-0000-0100-00000A000000}" uniqueName="ADICION" name="ADICION" dataDxfId="54" totalsRowDxfId="22">
      <xmlColumnPr mapId="1" xpath="/ESTADO_PPTO_GASTO_GOBATL_FYCC/LIST_G_CLASE/G_CLASE/ADICION" xmlDataType="double"/>
    </tableColumn>
    <tableColumn id="11" xr3:uid="{00000000-0010-0000-0100-00000B000000}" uniqueName="DISMINUCION" name="DISMINUCION" dataDxfId="53" totalsRowDxfId="21">
      <xmlColumnPr mapId="1" xpath="/ESTADO_PPTO_GASTO_GOBATL_FYCC/LIST_G_CLASE/G_CLASE/DISMINUCION" xmlDataType="integer"/>
    </tableColumn>
    <tableColumn id="12" xr3:uid="{00000000-0010-0000-0100-00000C000000}" uniqueName="CREDITO" name="CREDITO" dataDxfId="52" totalsRowDxfId="20">
      <xmlColumnPr mapId="1" xpath="/ESTADO_PPTO_GASTO_GOBATL_FYCC/LIST_G_CLASE/G_CLASE/CREDITO" xmlDataType="double"/>
    </tableColumn>
    <tableColumn id="13" xr3:uid="{00000000-0010-0000-0100-00000D000000}" uniqueName="CONTRACREDITO" name="CONTRACREDITO" dataDxfId="51" totalsRowDxfId="19">
      <xmlColumnPr mapId="1" xpath="/ESTADO_PPTO_GASTO_GOBATL_FYCC/LIST_G_CLASE/G_CLASE/CONTRACREDITO" xmlDataType="double"/>
    </tableColumn>
    <tableColumn id="16" xr3:uid="{00000000-0010-0000-0100-000010000000}" uniqueName="APROPIACION_DEFINITIVA" name="APROPIACION_DEFINITIVA" dataDxfId="50" totalsRowDxfId="18">
      <xmlColumnPr mapId="1" xpath="/ESTADO_PPTO_GASTO_GOBATL_FYCC/LIST_G_CLASE/G_CLASE/APROPIACION_DEFINITIVA" xmlDataType="string"/>
    </tableColumn>
    <tableColumn id="17" xr3:uid="{00000000-0010-0000-0100-000011000000}" uniqueName="SOLICITUD_TRAMITE" name="SOLICITUD_TRAMITE" dataDxfId="49" totalsRowDxfId="17">
      <xmlColumnPr mapId="1" xpath="/ESTADO_PPTO_GASTO_GOBATL_FYCC/LIST_G_CLASE/G_CLASE/SOLICITUD_TRAMITE" xmlDataType="double"/>
    </tableColumn>
    <tableColumn id="18" xr3:uid="{00000000-0010-0000-0100-000012000000}" uniqueName="CDP" name="CDP" totalsRowFunction="custom" dataDxfId="48" totalsRowDxfId="16">
      <totalsRowFormula>SUM(P141+P144+P150)</totalsRowFormula>
      <xmlColumnPr mapId="1" xpath="/ESTADO_PPTO_GASTO_GOBATL_FYCC/LIST_G_CLASE/G_CLASE/CDP" xmlDataType="double"/>
    </tableColumn>
    <tableColumn id="19" xr3:uid="{00000000-0010-0000-0100-000013000000}" uniqueName="RP" name="RP" totalsRowFunction="custom" dataDxfId="47" totalsRowDxfId="15">
      <totalsRowFormula>(Q141+Q144+Q150)</totalsRowFormula>
      <xmlColumnPr mapId="1" xpath="/ESTADO_PPTO_GASTO_GOBATL_FYCC/LIST_G_CLASE/G_CLASE/RP" xmlDataType="double"/>
    </tableColumn>
    <tableColumn id="20" xr3:uid="{00000000-0010-0000-0100-000014000000}" uniqueName="OBLIGACION" name="OBLIGACION" dataDxfId="46" totalsRowDxfId="14">
      <xmlColumnPr mapId="1" xpath="/ESTADO_PPTO_GASTO_GOBATL_FYCC/LIST_G_CLASE/G_CLASE/OBLIGACION" xmlDataType="double"/>
    </tableColumn>
    <tableColumn id="21" xr3:uid="{00000000-0010-0000-0100-000015000000}" uniqueName="PAGO" name="PAGO" dataDxfId="45" totalsRowDxfId="13">
      <xmlColumnPr mapId="1" xpath="/ESTADO_PPTO_GASTO_GOBATL_FYCC/LIST_G_CLASE/G_CLASE/PAGO" xmlDataType="double"/>
    </tableColumn>
    <tableColumn id="22" xr3:uid="{00000000-0010-0000-0100-000016000000}" uniqueName="DISPONIBLE" name="DISPONIBLE" dataDxfId="44" totalsRowDxfId="12">
      <xmlColumnPr mapId="1" xpath="/ESTADO_PPTO_GASTO_GOBATL_FYCC/LIST_G_CLASE/G_CLASE/DISPONIBLE" xmlDataType="string"/>
    </tableColumn>
    <tableColumn id="24" xr3:uid="{00000000-0010-0000-0100-000018000000}" uniqueName="24" name="CODIGO META" dataDxfId="43" totalsRowDxfId="11"/>
    <tableColumn id="25" xr3:uid="{00000000-0010-0000-0100-000019000000}" uniqueName="25" name="INDICADOR" dataDxfId="42" totalsRowDxfId="10"/>
    <tableColumn id="26" xr3:uid="{00000000-0010-0000-0100-00001A000000}" uniqueName="26" name="OBSERVACIONES" dataDxfId="41" totalsRowDxfId="9"/>
    <tableColumn id="14" xr3:uid="{5111BCD6-C1D9-4B7B-BE3D-CDCE286F6BBA}" uniqueName="14" name="VIGENCIA FUTURA" dataDxfId="40" totalsRowDxfId="8"/>
    <tableColumn id="1" xr3:uid="{726ACBBC-0736-4F2D-B753-6F30AD6C40CD}" uniqueName="1" name="VIGENCIA PI V1" dataDxfId="39" totalsRowDxfId="7"/>
    <tableColumn id="28" xr3:uid="{F81173C4-673D-4F1C-ACA2-841FC966D896}" uniqueName="28" name="VIGENCIA PI V2" dataDxfId="38" totalsRowDxfId="6"/>
    <tableColumn id="29" xr3:uid="{C6B0A8CE-2C96-4EC2-8F26-8612C790526B}" uniqueName="29" name="CAMBIOS RESPECTO A LA ACTUALIZACIÓN DE LA VERSIÓN 2" dataDxfId="37" totalsRowDxfId="5"/>
    <tableColumn id="15" xr3:uid="{DF2A9084-730A-4070-9041-F3DA31A41FA0}" uniqueName="15" name="VIGENCIA V3" dataDxfId="36" totalsRowDxfId="4"/>
    <tableColumn id="27" xr3:uid="{5A2DD7F7-D8EF-4902-A58D-7FE846433A82}" uniqueName="27" name="CAMBIOS RESPECTO A LA ACTUALIZACIÓN DE LA VERSIÓN 3" dataDxfId="35" totalsRowDxfId="3"/>
    <tableColumn id="30" xr3:uid="{EE561D86-789F-4D68-985F-4284D74118FA}" uniqueName="30" name="CLASIFICACIÓN RECURSOS" dataDxfId="34" totalsRowDxfId="2"/>
    <tableColumn id="31" xr3:uid="{B3664A05-81C4-4F56-A810-1B6702672929}" uniqueName="31" name="MUNICIPIOS" dataDxfId="33" totalsRowDxfId="1"/>
    <tableColumn id="32" xr3:uid="{708E7BF4-CC88-42DF-9A18-74BF2F02D9E9}" uniqueName="32" name="NOMBRE RUBRO - NOMBRE RECURSO" dataDxfId="32" totalsRowDxfId="0">
      <calculatedColumnFormula>_xlfn.CONCAT(EjecucionHaciendaDiciembre[[#This Row],[NOMBRE_RUBRO]]," - ",EjecucionHaciendaDiciembre[[#This Row],[NOMBRE_RECURSO]])</calculatedColumnFormula>
    </tableColumn>
  </tableColumns>
  <tableStyleInfo name="TableStyleLight12" showFirstColumn="0" showLastColumn="0" showRowStripes="1" showColumnStripes="1"/>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CD74E-62E7-4FC7-9DDE-9701C40104F0}">
  <dimension ref="A1:AM391"/>
  <sheetViews>
    <sheetView showGridLines="0" tabSelected="1" topLeftCell="L1" zoomScale="70" zoomScaleNormal="70" workbookViewId="0">
      <selection activeCell="P145" sqref="P145"/>
    </sheetView>
  </sheetViews>
  <sheetFormatPr baseColWidth="10" defaultColWidth="11.44140625" defaultRowHeight="15" customHeight="1" x14ac:dyDescent="0.3"/>
  <cols>
    <col min="1" max="1" width="30.5546875" customWidth="1"/>
    <col min="2" max="2" width="33.44140625" customWidth="1"/>
    <col min="3" max="3" width="14.33203125" style="77" customWidth="1"/>
    <col min="4" max="4" width="25.109375" style="83" customWidth="1"/>
    <col min="5" max="5" width="22.44140625" customWidth="1"/>
    <col min="6" max="6" width="29" customWidth="1"/>
    <col min="7" max="7" width="24.88671875" customWidth="1"/>
    <col min="8" max="8" width="46.21875" customWidth="1"/>
    <col min="9" max="9" width="34.6640625" customWidth="1"/>
    <col min="10" max="10" width="26.6640625" customWidth="1"/>
    <col min="11" max="11" width="25.6640625" customWidth="1"/>
    <col min="12" max="12" width="24" customWidth="1"/>
    <col min="13" max="13" width="29.88671875" customWidth="1"/>
    <col min="14" max="14" width="27.33203125" customWidth="1"/>
    <col min="15" max="16" width="29" customWidth="1"/>
    <col min="17" max="17" width="26.6640625" customWidth="1"/>
    <col min="18" max="18" width="32.5546875" customWidth="1"/>
    <col min="19" max="19" width="25.44140625" customWidth="1"/>
    <col min="20" max="20" width="24.44140625" customWidth="1"/>
    <col min="21" max="21" width="35.109375" style="83" customWidth="1"/>
    <col min="22" max="22" width="32" style="83" customWidth="1"/>
    <col min="23" max="23" width="42.109375" customWidth="1"/>
    <col min="24" max="24" width="26.6640625" style="77" customWidth="1"/>
    <col min="25" max="25" width="34.6640625" style="77" customWidth="1"/>
    <col min="26" max="26" width="33.44140625" style="77" customWidth="1"/>
    <col min="27" max="27" width="46.88671875" style="77" customWidth="1"/>
    <col min="28" max="28" width="28.6640625" style="77" customWidth="1"/>
    <col min="29" max="29" width="45.6640625" customWidth="1"/>
    <col min="30" max="30" width="42.109375" customWidth="1"/>
    <col min="31" max="33" width="43.88671875" customWidth="1"/>
    <col min="34" max="34" width="31.6640625" bestFit="1" customWidth="1"/>
    <col min="35" max="39" width="23" customWidth="1"/>
  </cols>
  <sheetData>
    <row r="1" spans="1:39" ht="14.4" x14ac:dyDescent="0.3">
      <c r="A1" s="1"/>
      <c r="B1" s="1"/>
      <c r="C1" s="5"/>
      <c r="D1" s="6"/>
      <c r="E1" s="1"/>
      <c r="F1" s="1"/>
      <c r="G1" s="6"/>
      <c r="H1" s="1"/>
      <c r="I1" s="1"/>
      <c r="J1" s="1"/>
      <c r="K1" s="1"/>
      <c r="L1" s="1"/>
      <c r="M1" s="1"/>
      <c r="N1" s="1"/>
      <c r="O1" s="1"/>
      <c r="P1" s="1"/>
      <c r="Q1" s="1"/>
      <c r="R1" s="1"/>
      <c r="S1" s="1"/>
      <c r="T1" s="7"/>
      <c r="U1" s="6"/>
      <c r="V1" s="6"/>
      <c r="W1" s="1"/>
      <c r="X1" s="5"/>
      <c r="Y1" s="5"/>
      <c r="Z1" s="5"/>
      <c r="AA1" s="5"/>
      <c r="AB1" s="5"/>
      <c r="AC1" s="1"/>
      <c r="AD1" s="1"/>
      <c r="AE1" s="1"/>
      <c r="AH1" s="1"/>
      <c r="AI1" s="1"/>
      <c r="AJ1" s="1"/>
      <c r="AK1" s="1"/>
      <c r="AL1" s="1"/>
      <c r="AM1" s="1"/>
    </row>
    <row r="2" spans="1:39" ht="14.4" x14ac:dyDescent="0.3">
      <c r="A2" s="1" t="s">
        <v>529</v>
      </c>
      <c r="B2" s="1"/>
      <c r="C2" s="5"/>
      <c r="D2" s="6"/>
      <c r="E2" s="1"/>
      <c r="F2" s="1"/>
      <c r="G2" s="6"/>
      <c r="H2" s="1"/>
      <c r="I2" s="1"/>
      <c r="J2" s="1"/>
      <c r="K2" s="1"/>
      <c r="L2" s="1"/>
      <c r="M2" s="1"/>
      <c r="N2" s="1"/>
      <c r="O2" s="1"/>
      <c r="P2" s="1"/>
      <c r="Q2" s="1"/>
      <c r="R2" s="1"/>
      <c r="S2" s="1"/>
      <c r="T2" s="7"/>
      <c r="U2" s="6"/>
      <c r="V2" s="6"/>
      <c r="W2" s="1"/>
      <c r="X2" s="5"/>
      <c r="Y2" s="5"/>
      <c r="Z2" s="5"/>
      <c r="AA2" s="5"/>
      <c r="AB2" s="5"/>
      <c r="AC2" s="1"/>
      <c r="AD2" s="1"/>
      <c r="AE2" s="1"/>
      <c r="AH2" s="1"/>
      <c r="AI2" s="1"/>
      <c r="AJ2" s="1"/>
      <c r="AK2" s="1"/>
      <c r="AL2" s="1"/>
      <c r="AM2" s="1"/>
    </row>
    <row r="3" spans="1:39" ht="14.4" x14ac:dyDescent="0.3">
      <c r="A3" s="1"/>
      <c r="B3" s="1"/>
      <c r="C3" s="5"/>
      <c r="D3" s="6"/>
      <c r="E3" s="1"/>
      <c r="F3" s="1"/>
      <c r="G3" s="6"/>
      <c r="H3" s="1"/>
      <c r="I3" s="1"/>
      <c r="J3" s="1"/>
      <c r="K3" s="1"/>
      <c r="L3" s="1"/>
      <c r="M3" s="1"/>
      <c r="N3" s="1"/>
      <c r="O3" s="1"/>
      <c r="P3" s="1"/>
      <c r="Q3" s="1"/>
      <c r="R3" s="1"/>
      <c r="S3" s="1"/>
      <c r="T3" s="7"/>
      <c r="U3" s="6"/>
      <c r="V3" s="6"/>
      <c r="W3" s="1"/>
      <c r="X3" s="5"/>
      <c r="Y3" s="5"/>
      <c r="Z3" s="5"/>
      <c r="AA3" s="5"/>
      <c r="AB3" s="5"/>
      <c r="AC3" s="1"/>
      <c r="AD3" s="1"/>
      <c r="AE3" s="1"/>
      <c r="AH3" s="1"/>
      <c r="AI3" s="1"/>
      <c r="AJ3" s="1"/>
      <c r="AK3" s="1"/>
      <c r="AL3" s="1"/>
      <c r="AM3" s="1"/>
    </row>
    <row r="4" spans="1:39" ht="70.95" customHeight="1" x14ac:dyDescent="0.3">
      <c r="A4" s="8" t="s">
        <v>0</v>
      </c>
      <c r="B4" s="8" t="s">
        <v>1</v>
      </c>
      <c r="C4" s="8" t="s">
        <v>2</v>
      </c>
      <c r="D4" s="8" t="s">
        <v>3</v>
      </c>
      <c r="E4" s="8" t="s">
        <v>4</v>
      </c>
      <c r="F4" s="8" t="s">
        <v>5</v>
      </c>
      <c r="G4" s="8" t="s">
        <v>6</v>
      </c>
      <c r="H4" s="8" t="s">
        <v>541</v>
      </c>
      <c r="I4" s="8" t="s">
        <v>7</v>
      </c>
      <c r="J4" s="8" t="s">
        <v>8</v>
      </c>
      <c r="K4" s="8" t="s">
        <v>9</v>
      </c>
      <c r="L4" s="8" t="s">
        <v>10</v>
      </c>
      <c r="M4" s="8" t="s">
        <v>11</v>
      </c>
      <c r="N4" s="8" t="s">
        <v>12</v>
      </c>
      <c r="O4" s="8" t="s">
        <v>13</v>
      </c>
      <c r="P4" s="8" t="s">
        <v>14</v>
      </c>
      <c r="Q4" s="8" t="s">
        <v>15</v>
      </c>
      <c r="R4" s="8" t="s">
        <v>16</v>
      </c>
      <c r="S4" s="8" t="s">
        <v>17</v>
      </c>
      <c r="T4" s="9" t="s">
        <v>18</v>
      </c>
      <c r="U4" s="8" t="s">
        <v>544</v>
      </c>
      <c r="V4" s="8" t="s">
        <v>545</v>
      </c>
      <c r="W4" s="8" t="s">
        <v>633</v>
      </c>
      <c r="X4" s="10" t="s">
        <v>747</v>
      </c>
      <c r="Y4" s="10" t="s">
        <v>835</v>
      </c>
      <c r="Z4" s="8" t="s">
        <v>834</v>
      </c>
      <c r="AA4" s="8" t="s">
        <v>844</v>
      </c>
      <c r="AB4" s="11" t="s">
        <v>843</v>
      </c>
      <c r="AC4" s="11" t="s">
        <v>845</v>
      </c>
      <c r="AD4" s="8" t="s">
        <v>846</v>
      </c>
      <c r="AE4" s="12" t="s">
        <v>854</v>
      </c>
      <c r="AF4" s="94" t="s">
        <v>918</v>
      </c>
      <c r="AH4" s="13" t="s">
        <v>530</v>
      </c>
      <c r="AI4" s="96" t="s">
        <v>531</v>
      </c>
      <c r="AJ4" s="96"/>
      <c r="AK4" s="96"/>
      <c r="AL4" s="96"/>
      <c r="AM4" s="96"/>
    </row>
    <row r="5" spans="1:39" ht="35.4" customHeight="1" x14ac:dyDescent="0.3">
      <c r="A5" s="14" t="s">
        <v>20</v>
      </c>
      <c r="B5" s="14" t="s">
        <v>171</v>
      </c>
      <c r="C5" s="15"/>
      <c r="D5" s="15"/>
      <c r="E5" s="15"/>
      <c r="F5" s="14"/>
      <c r="G5" s="15"/>
      <c r="H5" s="14"/>
      <c r="I5" s="16">
        <v>814105476166.52002</v>
      </c>
      <c r="J5" s="16">
        <v>443875281889.39001</v>
      </c>
      <c r="K5" s="16">
        <v>0</v>
      </c>
      <c r="L5" s="16">
        <v>46763572454.010002</v>
      </c>
      <c r="M5" s="16">
        <v>42414827418.099998</v>
      </c>
      <c r="N5" s="16">
        <v>1262329503091.8201</v>
      </c>
      <c r="O5" s="16">
        <v>1129642174978.78</v>
      </c>
      <c r="P5" s="16">
        <v>1129562174978.78</v>
      </c>
      <c r="Q5" s="16">
        <v>1094939663852.41</v>
      </c>
      <c r="R5" s="16">
        <v>804739548563.57996</v>
      </c>
      <c r="S5" s="16">
        <v>797373298485.87</v>
      </c>
      <c r="T5" s="16">
        <v>132767328113.03999</v>
      </c>
      <c r="U5" s="17"/>
      <c r="V5" s="17"/>
      <c r="W5" s="17"/>
      <c r="X5" s="17" t="s">
        <v>716</v>
      </c>
      <c r="Y5" s="15"/>
      <c r="Z5" s="17"/>
      <c r="AA5" s="17" t="s">
        <v>716</v>
      </c>
      <c r="AB5" s="81"/>
      <c r="AC5" s="16" t="s">
        <v>716</v>
      </c>
      <c r="AD5" s="17" t="s">
        <v>716</v>
      </c>
      <c r="AE5" s="17" t="s">
        <v>716</v>
      </c>
      <c r="AF5" s="93" t="str">
        <f>_xlfn.CONCAT(EjecucionHaciendaDiciembre[[#This Row],[NOMBRE_RUBRO]]," - ",EjecucionHaciendaDiciembre[[#This Row],[NOMBRE_RECURSO]])</f>
        <v xml:space="preserve">Inversión - </v>
      </c>
      <c r="AH5" s="18" t="s">
        <v>532</v>
      </c>
      <c r="AI5" s="95" t="s">
        <v>533</v>
      </c>
      <c r="AJ5" s="95"/>
      <c r="AK5" s="95"/>
      <c r="AL5" s="95"/>
      <c r="AM5" s="95"/>
    </row>
    <row r="6" spans="1:39" ht="14.4" x14ac:dyDescent="0.3">
      <c r="A6" s="14" t="s">
        <v>21</v>
      </c>
      <c r="B6" s="14" t="s">
        <v>119</v>
      </c>
      <c r="C6" s="15"/>
      <c r="D6" s="15"/>
      <c r="E6" s="15"/>
      <c r="F6" s="14"/>
      <c r="G6" s="15"/>
      <c r="H6" s="14"/>
      <c r="I6" s="16">
        <v>640241922025</v>
      </c>
      <c r="J6" s="16">
        <v>131359554909</v>
      </c>
      <c r="K6" s="16">
        <v>0</v>
      </c>
      <c r="L6" s="16">
        <v>2314000000</v>
      </c>
      <c r="M6" s="16">
        <v>2314000000</v>
      </c>
      <c r="N6" s="16">
        <v>771601476934</v>
      </c>
      <c r="O6" s="16">
        <v>723607128487</v>
      </c>
      <c r="P6" s="16">
        <v>723607128487</v>
      </c>
      <c r="Q6" s="16">
        <v>723607128487</v>
      </c>
      <c r="R6" s="16">
        <v>618051624502</v>
      </c>
      <c r="S6" s="16">
        <v>613273064151</v>
      </c>
      <c r="T6" s="16">
        <v>47994348447</v>
      </c>
      <c r="U6" s="17"/>
      <c r="V6" s="17"/>
      <c r="W6" s="17"/>
      <c r="X6" s="17" t="s">
        <v>716</v>
      </c>
      <c r="Y6" s="15"/>
      <c r="Z6" s="17"/>
      <c r="AA6" s="17" t="s">
        <v>716</v>
      </c>
      <c r="AB6" s="81"/>
      <c r="AC6" s="16" t="s">
        <v>716</v>
      </c>
      <c r="AD6" s="16" t="s">
        <v>716</v>
      </c>
      <c r="AE6" s="16" t="s">
        <v>716</v>
      </c>
      <c r="AF6" s="16" t="str">
        <f>_xlfn.CONCAT(EjecucionHaciendaDiciembre[[#This Row],[NOMBRE_RUBRO]]," - ",EjecucionHaciendaDiciembre[[#This Row],[NOMBRE_RECURSO]])</f>
        <v xml:space="preserve">Gastos de personal - </v>
      </c>
      <c r="AH6" s="19" t="s">
        <v>534</v>
      </c>
      <c r="AI6" s="95" t="s">
        <v>535</v>
      </c>
      <c r="AJ6" s="95"/>
      <c r="AK6" s="95"/>
      <c r="AL6" s="95"/>
      <c r="AM6" s="95"/>
    </row>
    <row r="7" spans="1:39" ht="14.4" x14ac:dyDescent="0.3">
      <c r="A7" s="14" t="s">
        <v>22</v>
      </c>
      <c r="B7" s="14" t="s">
        <v>120</v>
      </c>
      <c r="C7" s="15"/>
      <c r="D7" s="15"/>
      <c r="E7" s="15"/>
      <c r="F7" s="14"/>
      <c r="G7" s="15"/>
      <c r="H7" s="14"/>
      <c r="I7" s="16">
        <v>640241922025</v>
      </c>
      <c r="J7" s="16">
        <v>131359554909</v>
      </c>
      <c r="K7" s="16">
        <v>0</v>
      </c>
      <c r="L7" s="16">
        <v>2314000000</v>
      </c>
      <c r="M7" s="16">
        <v>2314000000</v>
      </c>
      <c r="N7" s="16">
        <v>771601476934</v>
      </c>
      <c r="O7" s="16">
        <v>723607128487</v>
      </c>
      <c r="P7" s="16">
        <v>723607128487</v>
      </c>
      <c r="Q7" s="16">
        <v>723607128487</v>
      </c>
      <c r="R7" s="16">
        <v>618051624502</v>
      </c>
      <c r="S7" s="16">
        <v>613273064151</v>
      </c>
      <c r="T7" s="16">
        <v>47994348447</v>
      </c>
      <c r="U7" s="17"/>
      <c r="V7" s="17"/>
      <c r="W7" s="17"/>
      <c r="X7" s="17" t="s">
        <v>716</v>
      </c>
      <c r="Y7" s="15"/>
      <c r="Z7" s="17"/>
      <c r="AA7" s="17" t="s">
        <v>716</v>
      </c>
      <c r="AB7" s="81"/>
      <c r="AC7" s="16" t="s">
        <v>716</v>
      </c>
      <c r="AD7" s="16" t="s">
        <v>716</v>
      </c>
      <c r="AE7" s="16" t="s">
        <v>716</v>
      </c>
      <c r="AF7" s="16" t="str">
        <f>_xlfn.CONCAT(EjecucionHaciendaDiciembre[[#This Row],[NOMBRE_RUBRO]]," - ",EjecucionHaciendaDiciembre[[#This Row],[NOMBRE_RECURSO]])</f>
        <v xml:space="preserve">Planta de personal permanente - </v>
      </c>
      <c r="AH7" s="20" t="s">
        <v>536</v>
      </c>
      <c r="AI7" s="95" t="s">
        <v>537</v>
      </c>
      <c r="AJ7" s="95"/>
      <c r="AK7" s="95"/>
      <c r="AL7" s="95"/>
      <c r="AM7" s="95"/>
    </row>
    <row r="8" spans="1:39" ht="14.4" x14ac:dyDescent="0.3">
      <c r="A8" s="14" t="s">
        <v>23</v>
      </c>
      <c r="B8" s="14" t="s">
        <v>121</v>
      </c>
      <c r="C8" s="15"/>
      <c r="D8" s="15"/>
      <c r="E8" s="15"/>
      <c r="F8" s="14"/>
      <c r="G8" s="15"/>
      <c r="H8" s="14"/>
      <c r="I8" s="16">
        <v>526187968894</v>
      </c>
      <c r="J8" s="16">
        <v>60426602718</v>
      </c>
      <c r="K8" s="16">
        <v>0</v>
      </c>
      <c r="L8" s="16">
        <v>2314000000</v>
      </c>
      <c r="M8" s="16">
        <v>2314000000</v>
      </c>
      <c r="N8" s="16">
        <v>586614571612</v>
      </c>
      <c r="O8" s="16">
        <v>543844743335</v>
      </c>
      <c r="P8" s="16">
        <v>543844743335</v>
      </c>
      <c r="Q8" s="16">
        <v>543844743335</v>
      </c>
      <c r="R8" s="16">
        <v>534806033472</v>
      </c>
      <c r="S8" s="16">
        <v>534664782822</v>
      </c>
      <c r="T8" s="16">
        <v>42769828277</v>
      </c>
      <c r="U8" s="17"/>
      <c r="V8" s="17"/>
      <c r="W8" s="17"/>
      <c r="X8" s="17" t="s">
        <v>716</v>
      </c>
      <c r="Y8" s="15"/>
      <c r="Z8" s="17"/>
      <c r="AA8" s="17" t="s">
        <v>716</v>
      </c>
      <c r="AB8" s="81"/>
      <c r="AC8" s="16" t="s">
        <v>716</v>
      </c>
      <c r="AD8" s="16" t="s">
        <v>716</v>
      </c>
      <c r="AE8" s="16" t="s">
        <v>716</v>
      </c>
      <c r="AF8" s="16" t="str">
        <f>_xlfn.CONCAT(EjecucionHaciendaDiciembre[[#This Row],[NOMBRE_RUBRO]]," - ",EjecucionHaciendaDiciembre[[#This Row],[NOMBRE_RECURSO]])</f>
        <v xml:space="preserve">Factores constitutivos de salario - </v>
      </c>
      <c r="AH8" s="21" t="s">
        <v>11</v>
      </c>
      <c r="AI8" s="95" t="s">
        <v>538</v>
      </c>
      <c r="AJ8" s="95"/>
      <c r="AK8" s="95"/>
      <c r="AL8" s="95"/>
      <c r="AM8" s="95"/>
    </row>
    <row r="9" spans="1:39" ht="16.95" customHeight="1" x14ac:dyDescent="0.3">
      <c r="A9" s="14" t="s">
        <v>24</v>
      </c>
      <c r="B9" s="14" t="s">
        <v>122</v>
      </c>
      <c r="C9" s="15"/>
      <c r="D9" s="15"/>
      <c r="E9" s="15"/>
      <c r="F9" s="14"/>
      <c r="G9" s="15"/>
      <c r="H9" s="14"/>
      <c r="I9" s="16">
        <v>511819924985</v>
      </c>
      <c r="J9" s="16">
        <v>59426602718</v>
      </c>
      <c r="K9" s="16">
        <v>0</v>
      </c>
      <c r="L9" s="16">
        <v>2314000000</v>
      </c>
      <c r="M9" s="16">
        <v>2314000000</v>
      </c>
      <c r="N9" s="16">
        <v>571246527703</v>
      </c>
      <c r="O9" s="16">
        <v>529599001251</v>
      </c>
      <c r="P9" s="16">
        <v>529599001251</v>
      </c>
      <c r="Q9" s="16">
        <v>529599001251</v>
      </c>
      <c r="R9" s="16">
        <v>520560291388</v>
      </c>
      <c r="S9" s="16">
        <v>520419040738</v>
      </c>
      <c r="T9" s="16">
        <v>41647526452</v>
      </c>
      <c r="U9" s="17"/>
      <c r="V9" s="17"/>
      <c r="W9" s="17"/>
      <c r="X9" s="17" t="s">
        <v>716</v>
      </c>
      <c r="Y9" s="15"/>
      <c r="Z9" s="17"/>
      <c r="AA9" s="17" t="s">
        <v>716</v>
      </c>
      <c r="AB9" s="81"/>
      <c r="AC9" s="16" t="s">
        <v>716</v>
      </c>
      <c r="AD9" s="16" t="s">
        <v>716</v>
      </c>
      <c r="AE9" s="16" t="s">
        <v>716</v>
      </c>
      <c r="AF9" s="16" t="str">
        <f>_xlfn.CONCAT(EjecucionHaciendaDiciembre[[#This Row],[NOMBRE_RUBRO]]," - ",EjecucionHaciendaDiciembre[[#This Row],[NOMBRE_RECURSO]])</f>
        <v xml:space="preserve">Factores salariales comunes - </v>
      </c>
      <c r="AH9" s="22" t="s">
        <v>539</v>
      </c>
      <c r="AI9" s="95" t="s">
        <v>540</v>
      </c>
      <c r="AJ9" s="95"/>
      <c r="AK9" s="95"/>
      <c r="AL9" s="95"/>
      <c r="AM9" s="95"/>
    </row>
    <row r="10" spans="1:39" ht="111.75" customHeight="1" x14ac:dyDescent="0.3">
      <c r="A10" s="3" t="s">
        <v>25</v>
      </c>
      <c r="B10" s="3" t="s">
        <v>123</v>
      </c>
      <c r="C10" s="2" t="s">
        <v>224</v>
      </c>
      <c r="D10" s="2" t="s">
        <v>300</v>
      </c>
      <c r="E10" s="2" t="s">
        <v>19</v>
      </c>
      <c r="F10" s="3" t="s">
        <v>381</v>
      </c>
      <c r="G10" s="2" t="s">
        <v>400</v>
      </c>
      <c r="H10" s="3" t="s">
        <v>542</v>
      </c>
      <c r="I10" s="4">
        <v>418867107333</v>
      </c>
      <c r="J10" s="4">
        <v>55486719814</v>
      </c>
      <c r="K10" s="4">
        <v>0</v>
      </c>
      <c r="L10" s="4">
        <v>0</v>
      </c>
      <c r="M10" s="4">
        <v>2314000000</v>
      </c>
      <c r="N10" s="4">
        <v>472039827147</v>
      </c>
      <c r="O10" s="4">
        <v>433724423567</v>
      </c>
      <c r="P10" s="4">
        <v>433724423567</v>
      </c>
      <c r="Q10" s="4">
        <v>433724423567</v>
      </c>
      <c r="R10" s="4">
        <v>424685713704</v>
      </c>
      <c r="S10" s="4">
        <v>424548137006</v>
      </c>
      <c r="T10" s="4">
        <v>38315403580</v>
      </c>
      <c r="U10" s="23" t="s">
        <v>543</v>
      </c>
      <c r="V10" s="24">
        <v>220107100</v>
      </c>
      <c r="W10" s="17"/>
      <c r="X10" s="17" t="s">
        <v>716</v>
      </c>
      <c r="Y10" s="15" t="s">
        <v>779</v>
      </c>
      <c r="Z10" s="17">
        <v>2024</v>
      </c>
      <c r="AA10" s="17" t="s">
        <v>716</v>
      </c>
      <c r="AB10" s="81">
        <v>2024</v>
      </c>
      <c r="AC10" s="16" t="s">
        <v>716</v>
      </c>
      <c r="AD10" s="16" t="s">
        <v>847</v>
      </c>
      <c r="AE10" s="16" t="s">
        <v>855</v>
      </c>
      <c r="AF10" s="16" t="str">
        <f>_xlfn.CONCAT(EjecucionHaciendaDiciembre[[#This Row],[NOMBRE_RUBRO]]," - ",EjecucionHaciendaDiciembre[[#This Row],[NOMBRE_RECURSO]])</f>
        <v>Sueldo básico - 1.2.4.1.01 - SGP-EDUCACION-PRESTACION DE SERVICIOS</v>
      </c>
      <c r="AH10" s="1"/>
      <c r="AI10" s="1"/>
      <c r="AJ10" s="1"/>
      <c r="AK10" s="1"/>
      <c r="AL10" s="1"/>
      <c r="AM10" s="1"/>
    </row>
    <row r="11" spans="1:39" ht="213.6" customHeight="1" x14ac:dyDescent="0.3">
      <c r="A11" s="25" t="s">
        <v>25</v>
      </c>
      <c r="B11" s="25" t="s">
        <v>123</v>
      </c>
      <c r="C11" s="26" t="s">
        <v>225</v>
      </c>
      <c r="D11" s="26" t="s">
        <v>301</v>
      </c>
      <c r="E11" s="26" t="s">
        <v>19</v>
      </c>
      <c r="F11" s="25" t="s">
        <v>381</v>
      </c>
      <c r="G11" s="26" t="s">
        <v>400</v>
      </c>
      <c r="H11" s="25" t="s">
        <v>542</v>
      </c>
      <c r="I11" s="27">
        <v>0</v>
      </c>
      <c r="J11" s="27">
        <v>2454751122</v>
      </c>
      <c r="K11" s="27">
        <v>0</v>
      </c>
      <c r="L11" s="27">
        <v>0</v>
      </c>
      <c r="M11" s="27">
        <v>0</v>
      </c>
      <c r="N11" s="27">
        <v>2454751122</v>
      </c>
      <c r="O11" s="27">
        <v>0</v>
      </c>
      <c r="P11" s="27">
        <v>0</v>
      </c>
      <c r="Q11" s="27">
        <v>0</v>
      </c>
      <c r="R11" s="27">
        <v>0</v>
      </c>
      <c r="S11" s="27">
        <v>0</v>
      </c>
      <c r="T11" s="27">
        <v>2454751122</v>
      </c>
      <c r="U11" s="28" t="s">
        <v>543</v>
      </c>
      <c r="V11" s="29">
        <v>220107100</v>
      </c>
      <c r="W11" s="17" t="s">
        <v>797</v>
      </c>
      <c r="X11" s="17" t="s">
        <v>716</v>
      </c>
      <c r="Y11" s="15" t="s">
        <v>779</v>
      </c>
      <c r="Z11" s="17">
        <v>2024</v>
      </c>
      <c r="AA11" s="17" t="s">
        <v>716</v>
      </c>
      <c r="AB11" s="81">
        <v>2024</v>
      </c>
      <c r="AC11" s="16" t="s">
        <v>716</v>
      </c>
      <c r="AD11" s="16" t="s">
        <v>847</v>
      </c>
      <c r="AE11" s="16" t="s">
        <v>855</v>
      </c>
      <c r="AF11" s="16" t="str">
        <f>_xlfn.CONCAT(EjecucionHaciendaDiciembre[[#This Row],[NOMBRE_RUBRO]]," - ",EjecucionHaciendaDiciembre[[#This Row],[NOMBRE_RECURSO]])</f>
        <v>Sueldo básico - 1.3.3.6.01-R.B. SGP-EDUCACION PRESTACION DE SERVICIOS</v>
      </c>
      <c r="AH11" s="1"/>
      <c r="AL11" s="1"/>
      <c r="AM11" s="1"/>
    </row>
    <row r="12" spans="1:39" ht="141" customHeight="1" x14ac:dyDescent="0.3">
      <c r="A12" s="25" t="s">
        <v>25</v>
      </c>
      <c r="B12" s="25" t="s">
        <v>123</v>
      </c>
      <c r="C12" s="26" t="s">
        <v>226</v>
      </c>
      <c r="D12" s="26" t="s">
        <v>302</v>
      </c>
      <c r="E12" s="26" t="s">
        <v>19</v>
      </c>
      <c r="F12" s="25" t="s">
        <v>381</v>
      </c>
      <c r="G12" s="26" t="s">
        <v>400</v>
      </c>
      <c r="H12" s="25" t="s">
        <v>542</v>
      </c>
      <c r="I12" s="27">
        <v>0</v>
      </c>
      <c r="J12" s="27">
        <v>329128208</v>
      </c>
      <c r="K12" s="27">
        <v>0</v>
      </c>
      <c r="L12" s="27">
        <v>0</v>
      </c>
      <c r="M12" s="27">
        <v>0</v>
      </c>
      <c r="N12" s="27">
        <v>329128208</v>
      </c>
      <c r="O12" s="27">
        <v>0</v>
      </c>
      <c r="P12" s="27">
        <v>0</v>
      </c>
      <c r="Q12" s="27">
        <v>0</v>
      </c>
      <c r="R12" s="27">
        <v>0</v>
      </c>
      <c r="S12" s="27">
        <v>0</v>
      </c>
      <c r="T12" s="27">
        <v>329128208</v>
      </c>
      <c r="U12" s="28" t="s">
        <v>543</v>
      </c>
      <c r="V12" s="29">
        <v>220107100</v>
      </c>
      <c r="W12" s="17" t="s">
        <v>823</v>
      </c>
      <c r="X12" s="17" t="s">
        <v>716</v>
      </c>
      <c r="Y12" s="15" t="s">
        <v>779</v>
      </c>
      <c r="Z12" s="17">
        <v>2024</v>
      </c>
      <c r="AA12" s="17" t="s">
        <v>716</v>
      </c>
      <c r="AB12" s="81">
        <v>2024</v>
      </c>
      <c r="AC12" s="16" t="s">
        <v>716</v>
      </c>
      <c r="AD12" s="16" t="s">
        <v>716</v>
      </c>
      <c r="AE12" s="16" t="s">
        <v>855</v>
      </c>
      <c r="AF12" s="16" t="str">
        <f>_xlfn.CONCAT(EjecucionHaciendaDiciembre[[#This Row],[NOMBRE_RUBRO]]," - ",EjecucionHaciendaDiciembre[[#This Row],[NOMBRE_RECURSO]])</f>
        <v>Sueldo básico - 1.2.4.1.01 - REINTEGROS FOMAG</v>
      </c>
      <c r="AH12" s="1"/>
      <c r="AL12" s="1"/>
      <c r="AM12" s="1"/>
    </row>
    <row r="13" spans="1:39" ht="69" customHeight="1" x14ac:dyDescent="0.3">
      <c r="A13" s="3" t="s">
        <v>26</v>
      </c>
      <c r="B13" s="3" t="s">
        <v>124</v>
      </c>
      <c r="C13" s="2" t="s">
        <v>224</v>
      </c>
      <c r="D13" s="2" t="s">
        <v>300</v>
      </c>
      <c r="E13" s="2" t="s">
        <v>19</v>
      </c>
      <c r="F13" s="3" t="s">
        <v>381</v>
      </c>
      <c r="G13" s="2" t="s">
        <v>400</v>
      </c>
      <c r="H13" s="3" t="s">
        <v>542</v>
      </c>
      <c r="I13" s="4">
        <v>13469869445</v>
      </c>
      <c r="J13" s="4">
        <v>1000000000</v>
      </c>
      <c r="K13" s="4">
        <v>0</v>
      </c>
      <c r="L13" s="4">
        <v>317000000</v>
      </c>
      <c r="M13" s="4">
        <v>0</v>
      </c>
      <c r="N13" s="4">
        <v>14786869445</v>
      </c>
      <c r="O13" s="4">
        <v>14786313628</v>
      </c>
      <c r="P13" s="4">
        <v>14786313628</v>
      </c>
      <c r="Q13" s="4">
        <v>14786313628</v>
      </c>
      <c r="R13" s="4">
        <v>14786313628</v>
      </c>
      <c r="S13" s="4">
        <v>14786313628</v>
      </c>
      <c r="T13" s="4">
        <v>555817</v>
      </c>
      <c r="U13" s="23" t="s">
        <v>543</v>
      </c>
      <c r="V13" s="24">
        <v>220107100</v>
      </c>
      <c r="W13" s="17"/>
      <c r="X13" s="17" t="s">
        <v>716</v>
      </c>
      <c r="Y13" s="15" t="s">
        <v>779</v>
      </c>
      <c r="Z13" s="17">
        <v>2024</v>
      </c>
      <c r="AA13" s="17" t="s">
        <v>716</v>
      </c>
      <c r="AB13" s="81">
        <v>2024</v>
      </c>
      <c r="AC13" s="16" t="s">
        <v>716</v>
      </c>
      <c r="AD13" s="16" t="s">
        <v>847</v>
      </c>
      <c r="AE13" s="16" t="s">
        <v>855</v>
      </c>
      <c r="AF13" s="16" t="str">
        <f>_xlfn.CONCAT(EjecucionHaciendaDiciembre[[#This Row],[NOMBRE_RUBRO]]," - ",EjecucionHaciendaDiciembre[[#This Row],[NOMBRE_RECURSO]])</f>
        <v>Horas extras, dominicales, festivos y recargos - 1.2.4.1.01 - SGP-EDUCACION-PRESTACION DE SERVICIOS</v>
      </c>
      <c r="AH13" s="1"/>
      <c r="AL13" s="1"/>
      <c r="AM13" s="1"/>
    </row>
    <row r="14" spans="1:39" ht="136.19999999999999" customHeight="1" x14ac:dyDescent="0.3">
      <c r="A14" s="25" t="s">
        <v>26</v>
      </c>
      <c r="B14" s="25" t="s">
        <v>124</v>
      </c>
      <c r="C14" s="26" t="s">
        <v>226</v>
      </c>
      <c r="D14" s="26" t="s">
        <v>302</v>
      </c>
      <c r="E14" s="26" t="s">
        <v>19</v>
      </c>
      <c r="F14" s="25" t="s">
        <v>381</v>
      </c>
      <c r="G14" s="26" t="s">
        <v>400</v>
      </c>
      <c r="H14" s="25" t="s">
        <v>542</v>
      </c>
      <c r="I14" s="27">
        <v>0</v>
      </c>
      <c r="J14" s="27">
        <v>16003574</v>
      </c>
      <c r="K14" s="27">
        <v>0</v>
      </c>
      <c r="L14" s="27">
        <v>0</v>
      </c>
      <c r="M14" s="27">
        <v>0</v>
      </c>
      <c r="N14" s="27">
        <v>16003574</v>
      </c>
      <c r="O14" s="27">
        <v>0</v>
      </c>
      <c r="P14" s="27">
        <v>0</v>
      </c>
      <c r="Q14" s="27">
        <v>0</v>
      </c>
      <c r="R14" s="27">
        <v>0</v>
      </c>
      <c r="S14" s="27">
        <v>0</v>
      </c>
      <c r="T14" s="27">
        <v>16003574</v>
      </c>
      <c r="U14" s="28" t="s">
        <v>543</v>
      </c>
      <c r="V14" s="29">
        <v>220107100</v>
      </c>
      <c r="W14" s="17" t="s">
        <v>823</v>
      </c>
      <c r="X14" s="17" t="s">
        <v>716</v>
      </c>
      <c r="Y14" s="15" t="s">
        <v>779</v>
      </c>
      <c r="Z14" s="17">
        <v>2024</v>
      </c>
      <c r="AA14" s="17" t="s">
        <v>716</v>
      </c>
      <c r="AB14" s="81">
        <v>2024</v>
      </c>
      <c r="AC14" s="16" t="s">
        <v>716</v>
      </c>
      <c r="AD14" s="16" t="s">
        <v>716</v>
      </c>
      <c r="AE14" s="16" t="s">
        <v>855</v>
      </c>
      <c r="AF14" s="16" t="str">
        <f>_xlfn.CONCAT(EjecucionHaciendaDiciembre[[#This Row],[NOMBRE_RUBRO]]," - ",EjecucionHaciendaDiciembre[[#This Row],[NOMBRE_RECURSO]])</f>
        <v>Horas extras, dominicales, festivos y recargos - 1.2.4.1.01 - REINTEGROS FOMAG</v>
      </c>
      <c r="AH14" s="1"/>
      <c r="AI14" s="1"/>
      <c r="AJ14" s="1"/>
      <c r="AK14" s="1"/>
      <c r="AL14" s="1"/>
      <c r="AM14" s="1"/>
    </row>
    <row r="15" spans="1:39" ht="72" customHeight="1" x14ac:dyDescent="0.3">
      <c r="A15" s="3" t="s">
        <v>27</v>
      </c>
      <c r="B15" s="3" t="s">
        <v>125</v>
      </c>
      <c r="C15" s="2" t="s">
        <v>224</v>
      </c>
      <c r="D15" s="2" t="s">
        <v>300</v>
      </c>
      <c r="E15" s="2" t="s">
        <v>19</v>
      </c>
      <c r="F15" s="3" t="s">
        <v>381</v>
      </c>
      <c r="G15" s="2" t="s">
        <v>400</v>
      </c>
      <c r="H15" s="3" t="s">
        <v>542</v>
      </c>
      <c r="I15" s="4">
        <v>612678230</v>
      </c>
      <c r="J15" s="4">
        <v>0</v>
      </c>
      <c r="K15" s="4">
        <v>0</v>
      </c>
      <c r="L15" s="4">
        <v>0</v>
      </c>
      <c r="M15" s="4">
        <v>0</v>
      </c>
      <c r="N15" s="4">
        <v>612678230</v>
      </c>
      <c r="O15" s="4">
        <v>541275994</v>
      </c>
      <c r="P15" s="4">
        <v>541275994</v>
      </c>
      <c r="Q15" s="4">
        <v>541275994</v>
      </c>
      <c r="R15" s="4">
        <v>541275994</v>
      </c>
      <c r="S15" s="4">
        <v>540366822</v>
      </c>
      <c r="T15" s="4">
        <v>71402236</v>
      </c>
      <c r="U15" s="23" t="s">
        <v>543</v>
      </c>
      <c r="V15" s="24">
        <v>220107100</v>
      </c>
      <c r="W15" s="17"/>
      <c r="X15" s="17" t="s">
        <v>716</v>
      </c>
      <c r="Y15" s="15" t="s">
        <v>779</v>
      </c>
      <c r="Z15" s="17">
        <v>2024</v>
      </c>
      <c r="AA15" s="17" t="s">
        <v>716</v>
      </c>
      <c r="AB15" s="81">
        <v>2024</v>
      </c>
      <c r="AC15" s="16" t="s">
        <v>716</v>
      </c>
      <c r="AD15" s="16" t="s">
        <v>847</v>
      </c>
      <c r="AE15" s="16" t="s">
        <v>855</v>
      </c>
      <c r="AF15" s="16" t="str">
        <f>_xlfn.CONCAT(EjecucionHaciendaDiciembre[[#This Row],[NOMBRE_RUBRO]]," - ",EjecucionHaciendaDiciembre[[#This Row],[NOMBRE_RECURSO]])</f>
        <v>Subsidio de alimentación - 1.2.4.1.01 - SGP-EDUCACION-PRESTACION DE SERVICIOS</v>
      </c>
      <c r="AH15" s="1"/>
      <c r="AI15" s="1"/>
      <c r="AJ15" s="1"/>
      <c r="AK15" s="1"/>
      <c r="AL15" s="1"/>
      <c r="AM15" s="1"/>
    </row>
    <row r="16" spans="1:39" ht="75" customHeight="1" x14ac:dyDescent="0.3">
      <c r="A16" s="3" t="s">
        <v>28</v>
      </c>
      <c r="B16" s="3" t="s">
        <v>126</v>
      </c>
      <c r="C16" s="2" t="s">
        <v>224</v>
      </c>
      <c r="D16" s="2" t="s">
        <v>300</v>
      </c>
      <c r="E16" s="2" t="s">
        <v>19</v>
      </c>
      <c r="F16" s="3" t="s">
        <v>381</v>
      </c>
      <c r="G16" s="2" t="s">
        <v>400</v>
      </c>
      <c r="H16" s="3" t="s">
        <v>542</v>
      </c>
      <c r="I16" s="4">
        <v>783872462</v>
      </c>
      <c r="J16" s="4">
        <v>100000000</v>
      </c>
      <c r="K16" s="4">
        <v>0</v>
      </c>
      <c r="L16" s="4">
        <v>0</v>
      </c>
      <c r="M16" s="4">
        <v>0</v>
      </c>
      <c r="N16" s="4">
        <v>883872462</v>
      </c>
      <c r="O16" s="4">
        <v>864886600</v>
      </c>
      <c r="P16" s="4">
        <v>864886600</v>
      </c>
      <c r="Q16" s="4">
        <v>864886600</v>
      </c>
      <c r="R16" s="4">
        <v>864886600</v>
      </c>
      <c r="S16" s="4">
        <v>863293600</v>
      </c>
      <c r="T16" s="4">
        <v>18985862</v>
      </c>
      <c r="U16" s="23" t="s">
        <v>543</v>
      </c>
      <c r="V16" s="24">
        <v>220107100</v>
      </c>
      <c r="W16" s="17"/>
      <c r="X16" s="17" t="s">
        <v>716</v>
      </c>
      <c r="Y16" s="15" t="s">
        <v>779</v>
      </c>
      <c r="Z16" s="17">
        <v>2024</v>
      </c>
      <c r="AA16" s="17" t="s">
        <v>716</v>
      </c>
      <c r="AB16" s="81">
        <v>2024</v>
      </c>
      <c r="AC16" s="16" t="s">
        <v>716</v>
      </c>
      <c r="AD16" s="16" t="s">
        <v>847</v>
      </c>
      <c r="AE16" s="16" t="s">
        <v>855</v>
      </c>
      <c r="AF16" s="16" t="str">
        <f>_xlfn.CONCAT(EjecucionHaciendaDiciembre[[#This Row],[NOMBRE_RUBRO]]," - ",EjecucionHaciendaDiciembre[[#This Row],[NOMBRE_RECURSO]])</f>
        <v>Auxilio de transporte - 1.2.4.1.01 - SGP-EDUCACION-PRESTACION DE SERVICIOS</v>
      </c>
      <c r="AH16" s="1"/>
      <c r="AI16" s="1"/>
      <c r="AJ16" s="1"/>
      <c r="AK16" s="1"/>
      <c r="AL16" s="1"/>
      <c r="AM16" s="1"/>
    </row>
    <row r="17" spans="1:39" ht="84" customHeight="1" x14ac:dyDescent="0.3">
      <c r="A17" s="3" t="s">
        <v>29</v>
      </c>
      <c r="B17" s="3" t="s">
        <v>127</v>
      </c>
      <c r="C17" s="2" t="s">
        <v>224</v>
      </c>
      <c r="D17" s="2" t="s">
        <v>300</v>
      </c>
      <c r="E17" s="2" t="s">
        <v>19</v>
      </c>
      <c r="F17" s="3" t="s">
        <v>381</v>
      </c>
      <c r="G17" s="2" t="s">
        <v>400</v>
      </c>
      <c r="H17" s="3" t="s">
        <v>542</v>
      </c>
      <c r="I17" s="4">
        <v>18184532834</v>
      </c>
      <c r="J17" s="4">
        <v>0</v>
      </c>
      <c r="K17" s="4">
        <v>0</v>
      </c>
      <c r="L17" s="4">
        <v>0</v>
      </c>
      <c r="M17" s="4">
        <v>0</v>
      </c>
      <c r="N17" s="4">
        <v>18184532834</v>
      </c>
      <c r="O17" s="4">
        <v>17884768635</v>
      </c>
      <c r="P17" s="4">
        <v>17884768635</v>
      </c>
      <c r="Q17" s="4">
        <v>17884768635</v>
      </c>
      <c r="R17" s="4">
        <v>17884768635</v>
      </c>
      <c r="S17" s="4">
        <v>17884768635</v>
      </c>
      <c r="T17" s="4">
        <v>299764199</v>
      </c>
      <c r="U17" s="23" t="s">
        <v>543</v>
      </c>
      <c r="V17" s="24">
        <v>220107100</v>
      </c>
      <c r="W17" s="17"/>
      <c r="X17" s="17" t="s">
        <v>716</v>
      </c>
      <c r="Y17" s="15" t="s">
        <v>779</v>
      </c>
      <c r="Z17" s="17">
        <v>2024</v>
      </c>
      <c r="AA17" s="17" t="s">
        <v>716</v>
      </c>
      <c r="AB17" s="81">
        <v>2024</v>
      </c>
      <c r="AC17" s="16" t="s">
        <v>716</v>
      </c>
      <c r="AD17" s="16" t="s">
        <v>847</v>
      </c>
      <c r="AE17" s="16" t="s">
        <v>855</v>
      </c>
      <c r="AF17" s="16" t="str">
        <f>_xlfn.CONCAT(EjecucionHaciendaDiciembre[[#This Row],[NOMBRE_RUBRO]]," - ",EjecucionHaciendaDiciembre[[#This Row],[NOMBRE_RECURSO]])</f>
        <v>Prima de servicio - 1.2.4.1.01 - SGP-EDUCACION-PRESTACION DE SERVICIOS</v>
      </c>
      <c r="AH17" s="1"/>
      <c r="AI17" s="1"/>
      <c r="AJ17" s="1"/>
      <c r="AK17" s="1"/>
      <c r="AL17" s="1"/>
      <c r="AM17" s="1"/>
    </row>
    <row r="18" spans="1:39" ht="73.2" customHeight="1" x14ac:dyDescent="0.3">
      <c r="A18" s="3" t="s">
        <v>30</v>
      </c>
      <c r="B18" s="3" t="s">
        <v>128</v>
      </c>
      <c r="C18" s="2" t="s">
        <v>224</v>
      </c>
      <c r="D18" s="2" t="s">
        <v>300</v>
      </c>
      <c r="E18" s="2" t="s">
        <v>19</v>
      </c>
      <c r="F18" s="3" t="s">
        <v>381</v>
      </c>
      <c r="G18" s="2" t="s">
        <v>400</v>
      </c>
      <c r="H18" s="3" t="s">
        <v>542</v>
      </c>
      <c r="I18" s="4">
        <v>744776439</v>
      </c>
      <c r="J18" s="4">
        <v>0</v>
      </c>
      <c r="K18" s="4">
        <v>0</v>
      </c>
      <c r="L18" s="4">
        <v>0</v>
      </c>
      <c r="M18" s="4">
        <v>0</v>
      </c>
      <c r="N18" s="4">
        <v>744776439</v>
      </c>
      <c r="O18" s="4">
        <v>743788066</v>
      </c>
      <c r="P18" s="4">
        <v>743788066</v>
      </c>
      <c r="Q18" s="4">
        <v>743788066</v>
      </c>
      <c r="R18" s="4">
        <v>743788066</v>
      </c>
      <c r="S18" s="4">
        <v>743788066</v>
      </c>
      <c r="T18" s="4">
        <v>988373</v>
      </c>
      <c r="U18" s="23" t="s">
        <v>543</v>
      </c>
      <c r="V18" s="24">
        <v>220107100</v>
      </c>
      <c r="W18" s="17"/>
      <c r="X18" s="17" t="s">
        <v>716</v>
      </c>
      <c r="Y18" s="15" t="s">
        <v>779</v>
      </c>
      <c r="Z18" s="17">
        <v>2024</v>
      </c>
      <c r="AA18" s="17" t="s">
        <v>716</v>
      </c>
      <c r="AB18" s="81">
        <v>2024</v>
      </c>
      <c r="AC18" s="16" t="s">
        <v>716</v>
      </c>
      <c r="AD18" s="16" t="s">
        <v>847</v>
      </c>
      <c r="AE18" s="16" t="s">
        <v>855</v>
      </c>
      <c r="AF18" s="16" t="str">
        <f>_xlfn.CONCAT(EjecucionHaciendaDiciembre[[#This Row],[NOMBRE_RUBRO]]," - ",EjecucionHaciendaDiciembre[[#This Row],[NOMBRE_RECURSO]])</f>
        <v>Bonificación por servicios prestados - 1.2.4.1.01 - SGP-EDUCACION-PRESTACION DE SERVICIOS</v>
      </c>
      <c r="AH18" s="1"/>
      <c r="AI18" s="1"/>
      <c r="AJ18" s="1"/>
      <c r="AK18" s="1"/>
      <c r="AL18" s="1"/>
      <c r="AM18" s="1"/>
    </row>
    <row r="19" spans="1:39" ht="14.4" x14ac:dyDescent="0.3">
      <c r="A19" s="14" t="s">
        <v>31</v>
      </c>
      <c r="B19" s="14" t="s">
        <v>129</v>
      </c>
      <c r="C19" s="15"/>
      <c r="D19" s="15"/>
      <c r="E19" s="15"/>
      <c r="F19" s="14"/>
      <c r="G19" s="15"/>
      <c r="H19" s="14"/>
      <c r="I19" s="16">
        <v>58747168242</v>
      </c>
      <c r="J19" s="16">
        <v>0</v>
      </c>
      <c r="K19" s="16">
        <v>0</v>
      </c>
      <c r="L19" s="16">
        <v>1997000000</v>
      </c>
      <c r="M19" s="16">
        <v>0</v>
      </c>
      <c r="N19" s="16">
        <v>60744168242</v>
      </c>
      <c r="O19" s="16">
        <v>60615806408</v>
      </c>
      <c r="P19" s="16">
        <v>60615806408</v>
      </c>
      <c r="Q19" s="16">
        <v>60615806408</v>
      </c>
      <c r="R19" s="16">
        <v>60615806408</v>
      </c>
      <c r="S19" s="16">
        <v>60615806408</v>
      </c>
      <c r="T19" s="16">
        <v>128361834</v>
      </c>
      <c r="U19" s="17"/>
      <c r="V19" s="17"/>
      <c r="W19" s="17"/>
      <c r="X19" s="17" t="s">
        <v>716</v>
      </c>
      <c r="Y19" s="15"/>
      <c r="Z19" s="17"/>
      <c r="AA19" s="17" t="s">
        <v>716</v>
      </c>
      <c r="AB19" s="81"/>
      <c r="AC19" s="16" t="s">
        <v>716</v>
      </c>
      <c r="AD19" s="16" t="s">
        <v>716</v>
      </c>
      <c r="AE19" s="16" t="s">
        <v>716</v>
      </c>
      <c r="AF19" s="16" t="str">
        <f>_xlfn.CONCAT(EjecucionHaciendaDiciembre[[#This Row],[NOMBRE_RUBRO]]," - ",EjecucionHaciendaDiciembre[[#This Row],[NOMBRE_RECURSO]])</f>
        <v xml:space="preserve">Prestaciones sociales - </v>
      </c>
      <c r="AH19" s="1"/>
      <c r="AI19" s="1"/>
      <c r="AJ19" s="1"/>
      <c r="AK19" s="1"/>
      <c r="AL19" s="1"/>
      <c r="AM19" s="1"/>
    </row>
    <row r="20" spans="1:39" ht="73.2" customHeight="1" x14ac:dyDescent="0.3">
      <c r="A20" s="3" t="s">
        <v>32</v>
      </c>
      <c r="B20" s="3" t="s">
        <v>130</v>
      </c>
      <c r="C20" s="2" t="s">
        <v>224</v>
      </c>
      <c r="D20" s="2" t="s">
        <v>300</v>
      </c>
      <c r="E20" s="2" t="s">
        <v>19</v>
      </c>
      <c r="F20" s="3" t="s">
        <v>381</v>
      </c>
      <c r="G20" s="2" t="s">
        <v>400</v>
      </c>
      <c r="H20" s="3" t="s">
        <v>542</v>
      </c>
      <c r="I20" s="4">
        <v>39771210306</v>
      </c>
      <c r="J20" s="4">
        <v>0</v>
      </c>
      <c r="K20" s="4">
        <v>0</v>
      </c>
      <c r="L20" s="4">
        <v>1197000000</v>
      </c>
      <c r="M20" s="4">
        <v>0</v>
      </c>
      <c r="N20" s="4">
        <v>40968210306</v>
      </c>
      <c r="O20" s="4">
        <v>40967711259</v>
      </c>
      <c r="P20" s="4">
        <v>40967711259</v>
      </c>
      <c r="Q20" s="4">
        <v>40967711259</v>
      </c>
      <c r="R20" s="4">
        <v>40967711259</v>
      </c>
      <c r="S20" s="4">
        <v>40967711259</v>
      </c>
      <c r="T20" s="4">
        <v>499047</v>
      </c>
      <c r="U20" s="23" t="s">
        <v>543</v>
      </c>
      <c r="V20" s="24">
        <v>220107100</v>
      </c>
      <c r="W20" s="17"/>
      <c r="X20" s="17" t="s">
        <v>716</v>
      </c>
      <c r="Y20" s="15" t="s">
        <v>779</v>
      </c>
      <c r="Z20" s="17">
        <v>2024</v>
      </c>
      <c r="AA20" s="17" t="s">
        <v>716</v>
      </c>
      <c r="AB20" s="81">
        <v>2024</v>
      </c>
      <c r="AC20" s="16" t="s">
        <v>716</v>
      </c>
      <c r="AD20" s="16" t="s">
        <v>847</v>
      </c>
      <c r="AE20" s="16" t="s">
        <v>855</v>
      </c>
      <c r="AF20" s="16" t="str">
        <f>_xlfn.CONCAT(EjecucionHaciendaDiciembre[[#This Row],[NOMBRE_RUBRO]]," - ",EjecucionHaciendaDiciembre[[#This Row],[NOMBRE_RECURSO]])</f>
        <v>Prima de navidad - 1.2.4.1.01 - SGP-EDUCACION-PRESTACION DE SERVICIOS</v>
      </c>
      <c r="AH20" s="1"/>
      <c r="AI20" s="1"/>
      <c r="AJ20" s="1"/>
      <c r="AK20" s="1"/>
      <c r="AL20" s="1"/>
      <c r="AM20" s="1"/>
    </row>
    <row r="21" spans="1:39" ht="78.599999999999994" customHeight="1" x14ac:dyDescent="0.3">
      <c r="A21" s="3" t="s">
        <v>33</v>
      </c>
      <c r="B21" s="3" t="s">
        <v>131</v>
      </c>
      <c r="C21" s="2" t="s">
        <v>224</v>
      </c>
      <c r="D21" s="2" t="s">
        <v>300</v>
      </c>
      <c r="E21" s="2" t="s">
        <v>19</v>
      </c>
      <c r="F21" s="3" t="s">
        <v>381</v>
      </c>
      <c r="G21" s="2" t="s">
        <v>400</v>
      </c>
      <c r="H21" s="3" t="s">
        <v>542</v>
      </c>
      <c r="I21" s="4">
        <v>18975957936</v>
      </c>
      <c r="J21" s="4">
        <v>0</v>
      </c>
      <c r="K21" s="4">
        <v>0</v>
      </c>
      <c r="L21" s="4">
        <v>800000000</v>
      </c>
      <c r="M21" s="4">
        <v>0</v>
      </c>
      <c r="N21" s="4">
        <v>19775957936</v>
      </c>
      <c r="O21" s="4">
        <v>19648095149</v>
      </c>
      <c r="P21" s="4">
        <v>19648095149</v>
      </c>
      <c r="Q21" s="4">
        <v>19648095149</v>
      </c>
      <c r="R21" s="4">
        <v>19648095149</v>
      </c>
      <c r="S21" s="4">
        <v>19648095149</v>
      </c>
      <c r="T21" s="4">
        <v>127862787</v>
      </c>
      <c r="U21" s="23" t="s">
        <v>543</v>
      </c>
      <c r="V21" s="24">
        <v>220107100</v>
      </c>
      <c r="W21" s="17"/>
      <c r="X21" s="17" t="s">
        <v>716</v>
      </c>
      <c r="Y21" s="15" t="s">
        <v>779</v>
      </c>
      <c r="Z21" s="17">
        <v>2024</v>
      </c>
      <c r="AA21" s="17" t="s">
        <v>716</v>
      </c>
      <c r="AB21" s="81">
        <v>2024</v>
      </c>
      <c r="AC21" s="16" t="s">
        <v>716</v>
      </c>
      <c r="AD21" s="16" t="s">
        <v>847</v>
      </c>
      <c r="AE21" s="16" t="s">
        <v>855</v>
      </c>
      <c r="AF21" s="16" t="str">
        <f>_xlfn.CONCAT(EjecucionHaciendaDiciembre[[#This Row],[NOMBRE_RUBRO]]," - ",EjecucionHaciendaDiciembre[[#This Row],[NOMBRE_RECURSO]])</f>
        <v>Prima de vacaciones - 1.2.4.1.01 - SGP-EDUCACION-PRESTACION DE SERVICIOS</v>
      </c>
      <c r="AH21" s="1"/>
      <c r="AI21" s="1"/>
      <c r="AJ21" s="1"/>
      <c r="AK21" s="1"/>
      <c r="AL21" s="1"/>
      <c r="AM21" s="1"/>
    </row>
    <row r="22" spans="1:39" ht="76.2" customHeight="1" x14ac:dyDescent="0.3">
      <c r="A22" s="3" t="s">
        <v>34</v>
      </c>
      <c r="B22" s="3" t="s">
        <v>166</v>
      </c>
      <c r="C22" s="2" t="s">
        <v>224</v>
      </c>
      <c r="D22" s="2" t="s">
        <v>300</v>
      </c>
      <c r="E22" s="2" t="s">
        <v>19</v>
      </c>
      <c r="F22" s="3" t="s">
        <v>381</v>
      </c>
      <c r="G22" s="2" t="s">
        <v>400</v>
      </c>
      <c r="H22" s="3" t="s">
        <v>542</v>
      </c>
      <c r="I22" s="4">
        <v>409920000</v>
      </c>
      <c r="J22" s="4">
        <v>40000000</v>
      </c>
      <c r="K22" s="4">
        <v>0</v>
      </c>
      <c r="L22" s="4">
        <v>0</v>
      </c>
      <c r="M22" s="4">
        <v>0</v>
      </c>
      <c r="N22" s="4">
        <v>449920000</v>
      </c>
      <c r="O22" s="4">
        <v>437738353</v>
      </c>
      <c r="P22" s="4">
        <v>437738353</v>
      </c>
      <c r="Q22" s="4">
        <v>437738353</v>
      </c>
      <c r="R22" s="4">
        <v>437738353</v>
      </c>
      <c r="S22" s="4">
        <v>436566573</v>
      </c>
      <c r="T22" s="4">
        <v>12181647</v>
      </c>
      <c r="U22" s="23" t="s">
        <v>543</v>
      </c>
      <c r="V22" s="24">
        <v>220107100</v>
      </c>
      <c r="W22" s="17"/>
      <c r="X22" s="17" t="s">
        <v>716</v>
      </c>
      <c r="Y22" s="15" t="s">
        <v>779</v>
      </c>
      <c r="Z22" s="17">
        <v>2024</v>
      </c>
      <c r="AA22" s="17" t="s">
        <v>716</v>
      </c>
      <c r="AB22" s="81">
        <v>2024</v>
      </c>
      <c r="AC22" s="16" t="s">
        <v>716</v>
      </c>
      <c r="AD22" s="16" t="s">
        <v>847</v>
      </c>
      <c r="AE22" s="16" t="s">
        <v>855</v>
      </c>
      <c r="AF22" s="16" t="str">
        <f>_xlfn.CONCAT(EjecucionHaciendaDiciembre[[#This Row],[NOMBRE_RUBRO]]," - ",EjecucionHaciendaDiciembre[[#This Row],[NOMBRE_RECURSO]])</f>
        <v>Viáticos de los funcionarios en comisión - 1.2.4.1.01 - SGP-EDUCACION-PRESTACION DE SERVICIOS</v>
      </c>
      <c r="AH22" s="1"/>
      <c r="AI22" s="1"/>
      <c r="AJ22" s="1"/>
      <c r="AK22" s="1"/>
      <c r="AL22" s="1"/>
      <c r="AM22" s="1"/>
    </row>
    <row r="23" spans="1:39" ht="14.4" x14ac:dyDescent="0.3">
      <c r="A23" s="14" t="s">
        <v>35</v>
      </c>
      <c r="B23" s="14" t="s">
        <v>172</v>
      </c>
      <c r="C23" s="15"/>
      <c r="D23" s="15"/>
      <c r="E23" s="15"/>
      <c r="F23" s="14"/>
      <c r="G23" s="15"/>
      <c r="H23" s="14"/>
      <c r="I23" s="16">
        <v>14368043909</v>
      </c>
      <c r="J23" s="16">
        <v>1000000000</v>
      </c>
      <c r="K23" s="16">
        <v>0</v>
      </c>
      <c r="L23" s="16">
        <v>0</v>
      </c>
      <c r="M23" s="16">
        <v>0</v>
      </c>
      <c r="N23" s="16">
        <v>15368043909</v>
      </c>
      <c r="O23" s="16">
        <v>14245742084</v>
      </c>
      <c r="P23" s="16">
        <v>14245742084</v>
      </c>
      <c r="Q23" s="16">
        <v>14245742084</v>
      </c>
      <c r="R23" s="16">
        <v>14245742084</v>
      </c>
      <c r="S23" s="16">
        <v>14245742084</v>
      </c>
      <c r="T23" s="16">
        <v>1122301825</v>
      </c>
      <c r="U23" s="17"/>
      <c r="V23" s="17"/>
      <c r="W23" s="17"/>
      <c r="X23" s="17" t="s">
        <v>716</v>
      </c>
      <c r="Y23" s="15"/>
      <c r="Z23" s="17"/>
      <c r="AA23" s="17" t="s">
        <v>716</v>
      </c>
      <c r="AB23" s="81"/>
      <c r="AC23" s="16" t="s">
        <v>716</v>
      </c>
      <c r="AD23" s="16" t="s">
        <v>716</v>
      </c>
      <c r="AE23" s="16" t="s">
        <v>716</v>
      </c>
      <c r="AF23" s="16" t="str">
        <f>_xlfn.CONCAT(EjecucionHaciendaDiciembre[[#This Row],[NOMBRE_RUBRO]]," - ",EjecucionHaciendaDiciembre[[#This Row],[NOMBRE_RECURSO]])</f>
        <v xml:space="preserve">Factores salariales especiales - </v>
      </c>
      <c r="AH23" s="1"/>
      <c r="AI23" s="1"/>
      <c r="AJ23" s="1"/>
      <c r="AK23" s="1"/>
      <c r="AL23" s="1"/>
      <c r="AM23" s="1"/>
    </row>
    <row r="24" spans="1:39" ht="66.599999999999994" customHeight="1" x14ac:dyDescent="0.3">
      <c r="A24" s="3" t="s">
        <v>36</v>
      </c>
      <c r="B24" s="3" t="s">
        <v>173</v>
      </c>
      <c r="C24" s="2" t="s">
        <v>224</v>
      </c>
      <c r="D24" s="2" t="s">
        <v>300</v>
      </c>
      <c r="E24" s="2" t="s">
        <v>19</v>
      </c>
      <c r="F24" s="3" t="s">
        <v>381</v>
      </c>
      <c r="G24" s="2" t="s">
        <v>400</v>
      </c>
      <c r="H24" s="3" t="s">
        <v>542</v>
      </c>
      <c r="I24" s="4">
        <v>6149522812</v>
      </c>
      <c r="J24" s="4">
        <v>1000000000</v>
      </c>
      <c r="K24" s="4">
        <v>0</v>
      </c>
      <c r="L24" s="4">
        <v>0</v>
      </c>
      <c r="M24" s="4">
        <v>0</v>
      </c>
      <c r="N24" s="4">
        <v>7149522812</v>
      </c>
      <c r="O24" s="4">
        <v>6162750875</v>
      </c>
      <c r="P24" s="4">
        <v>6162750875</v>
      </c>
      <c r="Q24" s="4">
        <v>6162750875</v>
      </c>
      <c r="R24" s="4">
        <v>6162750875</v>
      </c>
      <c r="S24" s="4">
        <v>6162750875</v>
      </c>
      <c r="T24" s="4">
        <v>986771937</v>
      </c>
      <c r="U24" s="23" t="s">
        <v>543</v>
      </c>
      <c r="V24" s="24">
        <v>220107100</v>
      </c>
      <c r="W24" s="17"/>
      <c r="X24" s="17" t="s">
        <v>716</v>
      </c>
      <c r="Y24" s="15" t="s">
        <v>779</v>
      </c>
      <c r="Z24" s="17">
        <v>2024</v>
      </c>
      <c r="AA24" s="17" t="s">
        <v>716</v>
      </c>
      <c r="AB24" s="81">
        <v>2024</v>
      </c>
      <c r="AC24" s="16" t="s">
        <v>716</v>
      </c>
      <c r="AD24" s="16" t="s">
        <v>847</v>
      </c>
      <c r="AE24" s="16" t="s">
        <v>855</v>
      </c>
      <c r="AF24" s="16" t="str">
        <f>_xlfn.CONCAT(EjecucionHaciendaDiciembre[[#This Row],[NOMBRE_RUBRO]]," - ",EjecucionHaciendaDiciembre[[#This Row],[NOMBRE_RECURSO]])</f>
        <v>Bonificación Pedagógica Docentes Prescolar, Básica y Media - 1.2.4.1.01 - SGP-EDUCACION-PRESTACION DE SERVICIOS</v>
      </c>
      <c r="AH24" s="1"/>
      <c r="AI24" s="1"/>
      <c r="AJ24" s="1"/>
      <c r="AK24" s="1"/>
      <c r="AL24" s="1"/>
      <c r="AM24" s="1"/>
    </row>
    <row r="25" spans="1:39" ht="84.6" customHeight="1" x14ac:dyDescent="0.3">
      <c r="A25" s="3" t="s">
        <v>37</v>
      </c>
      <c r="B25" s="3" t="s">
        <v>174</v>
      </c>
      <c r="C25" s="2" t="s">
        <v>224</v>
      </c>
      <c r="D25" s="2" t="s">
        <v>300</v>
      </c>
      <c r="E25" s="2" t="s">
        <v>19</v>
      </c>
      <c r="F25" s="3" t="s">
        <v>381</v>
      </c>
      <c r="G25" s="2" t="s">
        <v>400</v>
      </c>
      <c r="H25" s="3" t="s">
        <v>542</v>
      </c>
      <c r="I25" s="4">
        <v>8218521097</v>
      </c>
      <c r="J25" s="4">
        <v>0</v>
      </c>
      <c r="K25" s="4">
        <v>0</v>
      </c>
      <c r="L25" s="4">
        <v>0</v>
      </c>
      <c r="M25" s="4">
        <v>0</v>
      </c>
      <c r="N25" s="4">
        <v>8218521097</v>
      </c>
      <c r="O25" s="4">
        <v>8082991209</v>
      </c>
      <c r="P25" s="4">
        <v>8082991209</v>
      </c>
      <c r="Q25" s="4">
        <v>8082991209</v>
      </c>
      <c r="R25" s="4">
        <v>8082991209</v>
      </c>
      <c r="S25" s="4">
        <v>8082991209</v>
      </c>
      <c r="T25" s="4">
        <v>135529888</v>
      </c>
      <c r="U25" s="23" t="s">
        <v>543</v>
      </c>
      <c r="V25" s="24">
        <v>220107100</v>
      </c>
      <c r="W25" s="17"/>
      <c r="X25" s="17" t="s">
        <v>716</v>
      </c>
      <c r="Y25" s="15" t="s">
        <v>779</v>
      </c>
      <c r="Z25" s="17">
        <v>2024</v>
      </c>
      <c r="AA25" s="17" t="s">
        <v>716</v>
      </c>
      <c r="AB25" s="81">
        <v>2024</v>
      </c>
      <c r="AC25" s="16" t="s">
        <v>716</v>
      </c>
      <c r="AD25" s="16" t="s">
        <v>847</v>
      </c>
      <c r="AE25" s="16" t="s">
        <v>855</v>
      </c>
      <c r="AF25" s="16" t="str">
        <f>_xlfn.CONCAT(EjecucionHaciendaDiciembre[[#This Row],[NOMBRE_RUBRO]]," - ",EjecucionHaciendaDiciembre[[#This Row],[NOMBRE_RECURSO]])</f>
        <v>Sobresueldo docentes y directivos docentes Prescolar, Básica y Media - 1.2.4.1.01 - SGP-EDUCACION-PRESTACION DE SERVICIOS</v>
      </c>
      <c r="AH25" s="1"/>
      <c r="AI25" s="1"/>
      <c r="AJ25" s="1"/>
      <c r="AK25" s="1"/>
      <c r="AL25" s="1"/>
      <c r="AM25" s="1"/>
    </row>
    <row r="26" spans="1:39" ht="14.4" x14ac:dyDescent="0.3">
      <c r="A26" s="14" t="s">
        <v>38</v>
      </c>
      <c r="B26" s="14" t="s">
        <v>132</v>
      </c>
      <c r="C26" s="15"/>
      <c r="D26" s="15"/>
      <c r="E26" s="15"/>
      <c r="F26" s="14"/>
      <c r="G26" s="15"/>
      <c r="H26" s="14"/>
      <c r="I26" s="16">
        <v>86270798252</v>
      </c>
      <c r="J26" s="16">
        <v>69832952191</v>
      </c>
      <c r="K26" s="16">
        <v>0</v>
      </c>
      <c r="L26" s="16">
        <v>0</v>
      </c>
      <c r="M26" s="16">
        <v>0</v>
      </c>
      <c r="N26" s="16">
        <v>156103750443</v>
      </c>
      <c r="O26" s="16">
        <v>151252082628</v>
      </c>
      <c r="P26" s="16">
        <v>151252082628</v>
      </c>
      <c r="Q26" s="16">
        <v>151252082628</v>
      </c>
      <c r="R26" s="16">
        <v>54735288506</v>
      </c>
      <c r="S26" s="16">
        <v>50111479254</v>
      </c>
      <c r="T26" s="16">
        <v>4851667815</v>
      </c>
      <c r="U26" s="17"/>
      <c r="V26" s="17"/>
      <c r="W26" s="17"/>
      <c r="X26" s="17" t="s">
        <v>716</v>
      </c>
      <c r="Y26" s="15"/>
      <c r="Z26" s="17"/>
      <c r="AA26" s="17" t="s">
        <v>716</v>
      </c>
      <c r="AB26" s="81"/>
      <c r="AC26" s="16" t="s">
        <v>716</v>
      </c>
      <c r="AD26" s="16" t="s">
        <v>716</v>
      </c>
      <c r="AE26" s="16" t="s">
        <v>716</v>
      </c>
      <c r="AF26" s="16" t="str">
        <f>_xlfn.CONCAT(EjecucionHaciendaDiciembre[[#This Row],[NOMBRE_RUBRO]]," - ",EjecucionHaciendaDiciembre[[#This Row],[NOMBRE_RECURSO]])</f>
        <v xml:space="preserve">Contribuciones inherentes a la nómina - </v>
      </c>
      <c r="AH26" s="1"/>
      <c r="AI26" s="1"/>
      <c r="AJ26" s="1"/>
      <c r="AK26" s="1"/>
      <c r="AL26" s="1"/>
      <c r="AM26" s="1"/>
    </row>
    <row r="27" spans="1:39" ht="66" customHeight="1" x14ac:dyDescent="0.3">
      <c r="A27" s="3" t="s">
        <v>39</v>
      </c>
      <c r="B27" s="3" t="s">
        <v>133</v>
      </c>
      <c r="C27" s="2" t="s">
        <v>224</v>
      </c>
      <c r="D27" s="2" t="s">
        <v>300</v>
      </c>
      <c r="E27" s="2" t="s">
        <v>19</v>
      </c>
      <c r="F27" s="3" t="s">
        <v>381</v>
      </c>
      <c r="G27" s="2" t="s">
        <v>400</v>
      </c>
      <c r="H27" s="3" t="s">
        <v>542</v>
      </c>
      <c r="I27" s="4">
        <v>10120369712</v>
      </c>
      <c r="J27" s="4">
        <v>9396259451</v>
      </c>
      <c r="K27" s="4">
        <v>0</v>
      </c>
      <c r="L27" s="4">
        <v>0</v>
      </c>
      <c r="M27" s="4">
        <v>0</v>
      </c>
      <c r="N27" s="4">
        <v>19516629163</v>
      </c>
      <c r="O27" s="4">
        <v>17737338993</v>
      </c>
      <c r="P27" s="4">
        <v>17737338993</v>
      </c>
      <c r="Q27" s="4">
        <v>17737338993</v>
      </c>
      <c r="R27" s="4">
        <v>3164148199</v>
      </c>
      <c r="S27" s="4">
        <v>2804922000</v>
      </c>
      <c r="T27" s="4">
        <v>1779290170</v>
      </c>
      <c r="U27" s="23" t="s">
        <v>543</v>
      </c>
      <c r="V27" s="24">
        <v>220107100</v>
      </c>
      <c r="W27" s="17"/>
      <c r="X27" s="17" t="s">
        <v>716</v>
      </c>
      <c r="Y27" s="15" t="s">
        <v>779</v>
      </c>
      <c r="Z27" s="17">
        <v>2024</v>
      </c>
      <c r="AA27" s="17" t="s">
        <v>716</v>
      </c>
      <c r="AB27" s="81">
        <v>2024</v>
      </c>
      <c r="AC27" s="16" t="s">
        <v>716</v>
      </c>
      <c r="AD27" s="16" t="s">
        <v>847</v>
      </c>
      <c r="AE27" s="16" t="s">
        <v>855</v>
      </c>
      <c r="AF27" s="16" t="str">
        <f>_xlfn.CONCAT(EjecucionHaciendaDiciembre[[#This Row],[NOMBRE_RUBRO]]," - ",EjecucionHaciendaDiciembre[[#This Row],[NOMBRE_RECURSO]])</f>
        <v>Aportes a la seguridad social en pensiones - 1.2.4.1.01 - SGP-EDUCACION-PRESTACION DE SERVICIOS</v>
      </c>
      <c r="AH27" s="1"/>
      <c r="AI27" s="1"/>
      <c r="AJ27" s="1"/>
      <c r="AK27" s="1"/>
      <c r="AL27" s="1"/>
      <c r="AM27" s="1"/>
    </row>
    <row r="28" spans="1:39" ht="132.6" customHeight="1" x14ac:dyDescent="0.3">
      <c r="A28" s="3" t="s">
        <v>39</v>
      </c>
      <c r="B28" s="3" t="s">
        <v>133</v>
      </c>
      <c r="C28" s="2" t="s">
        <v>227</v>
      </c>
      <c r="D28" s="2" t="s">
        <v>303</v>
      </c>
      <c r="E28" s="2" t="s">
        <v>19</v>
      </c>
      <c r="F28" s="3" t="s">
        <v>381</v>
      </c>
      <c r="G28" s="2" t="s">
        <v>399</v>
      </c>
      <c r="H28" s="3"/>
      <c r="I28" s="4">
        <v>0</v>
      </c>
      <c r="J28" s="4">
        <v>33040433290</v>
      </c>
      <c r="K28" s="4">
        <v>0</v>
      </c>
      <c r="L28" s="4">
        <v>0</v>
      </c>
      <c r="M28" s="4">
        <v>0</v>
      </c>
      <c r="N28" s="4">
        <v>33040433290</v>
      </c>
      <c r="O28" s="4">
        <v>33040433290</v>
      </c>
      <c r="P28" s="4">
        <v>33040433290</v>
      </c>
      <c r="Q28" s="4">
        <v>33040433290</v>
      </c>
      <c r="R28" s="4">
        <v>0</v>
      </c>
      <c r="S28" s="4">
        <v>0</v>
      </c>
      <c r="T28" s="4">
        <v>0</v>
      </c>
      <c r="U28" s="23"/>
      <c r="V28" s="23"/>
      <c r="W28" s="17" t="s">
        <v>796</v>
      </c>
      <c r="X28" s="17" t="s">
        <v>716</v>
      </c>
      <c r="Y28" s="15"/>
      <c r="Z28" s="17"/>
      <c r="AA28" s="17" t="s">
        <v>716</v>
      </c>
      <c r="AB28" s="81"/>
      <c r="AC28" s="16" t="s">
        <v>716</v>
      </c>
      <c r="AD28" s="16" t="s">
        <v>848</v>
      </c>
      <c r="AE28" s="16" t="s">
        <v>855</v>
      </c>
      <c r="AF28" s="16" t="str">
        <f>_xlfn.CONCAT(EjecucionHaciendaDiciembre[[#This Row],[NOMBRE_RUBRO]]," - ",EjecucionHaciendaDiciembre[[#This Row],[NOMBRE_RECURSO]])</f>
        <v>Aportes a la seguridad social en pensiones - 1.2.3.3.04 - OTRAS TRANSFERENCIAS CORRIENTES DESAHORRO FONPET SIN SIT DE FONDOS</v>
      </c>
      <c r="AH28" s="30"/>
      <c r="AI28" s="30"/>
      <c r="AJ28" s="30"/>
      <c r="AK28" s="30"/>
      <c r="AL28" s="30"/>
      <c r="AM28" s="30"/>
    </row>
    <row r="29" spans="1:39" ht="76.95" customHeight="1" x14ac:dyDescent="0.3">
      <c r="A29" s="3" t="s">
        <v>40</v>
      </c>
      <c r="B29" s="3" t="s">
        <v>134</v>
      </c>
      <c r="C29" s="2" t="s">
        <v>224</v>
      </c>
      <c r="D29" s="2" t="s">
        <v>300</v>
      </c>
      <c r="E29" s="2" t="s">
        <v>19</v>
      </c>
      <c r="F29" s="3" t="s">
        <v>381</v>
      </c>
      <c r="G29" s="2" t="s">
        <v>400</v>
      </c>
      <c r="H29" s="3" t="s">
        <v>542</v>
      </c>
      <c r="I29" s="4">
        <v>9193249443</v>
      </c>
      <c r="J29" s="4">
        <v>9396259450</v>
      </c>
      <c r="K29" s="4">
        <v>0</v>
      </c>
      <c r="L29" s="4">
        <v>0</v>
      </c>
      <c r="M29" s="4">
        <v>0</v>
      </c>
      <c r="N29" s="4">
        <v>18589508893</v>
      </c>
      <c r="O29" s="4">
        <v>16823913913</v>
      </c>
      <c r="P29" s="4">
        <v>16823913913</v>
      </c>
      <c r="Q29" s="4">
        <v>16823913913</v>
      </c>
      <c r="R29" s="4">
        <v>2250723120</v>
      </c>
      <c r="S29" s="4">
        <v>1995177700</v>
      </c>
      <c r="T29" s="4">
        <v>1765594980</v>
      </c>
      <c r="U29" s="23" t="s">
        <v>543</v>
      </c>
      <c r="V29" s="24">
        <v>220107100</v>
      </c>
      <c r="W29" s="17"/>
      <c r="X29" s="17" t="s">
        <v>716</v>
      </c>
      <c r="Y29" s="15" t="s">
        <v>779</v>
      </c>
      <c r="Z29" s="17">
        <v>2024</v>
      </c>
      <c r="AA29" s="17" t="s">
        <v>716</v>
      </c>
      <c r="AB29" s="81">
        <v>2024</v>
      </c>
      <c r="AC29" s="16" t="s">
        <v>716</v>
      </c>
      <c r="AD29" s="16" t="s">
        <v>847</v>
      </c>
      <c r="AE29" s="16" t="s">
        <v>855</v>
      </c>
      <c r="AF29" s="16" t="str">
        <f>_xlfn.CONCAT(EjecucionHaciendaDiciembre[[#This Row],[NOMBRE_RUBRO]]," - ",EjecucionHaciendaDiciembre[[#This Row],[NOMBRE_RECURSO]])</f>
        <v>Aportes a la seguridad social en salud - 1.2.4.1.01 - SGP-EDUCACION-PRESTACION DE SERVICIOS</v>
      </c>
      <c r="AH29" s="1"/>
      <c r="AI29" s="1"/>
      <c r="AJ29" s="1"/>
      <c r="AK29" s="1"/>
      <c r="AL29" s="1"/>
      <c r="AM29" s="1"/>
    </row>
    <row r="30" spans="1:39" ht="74.400000000000006" customHeight="1" x14ac:dyDescent="0.3">
      <c r="A30" s="3" t="s">
        <v>41</v>
      </c>
      <c r="B30" s="3" t="s">
        <v>135</v>
      </c>
      <c r="C30" s="2" t="s">
        <v>224</v>
      </c>
      <c r="D30" s="2" t="s">
        <v>300</v>
      </c>
      <c r="E30" s="2" t="s">
        <v>19</v>
      </c>
      <c r="F30" s="3" t="s">
        <v>381</v>
      </c>
      <c r="G30" s="2" t="s">
        <v>400</v>
      </c>
      <c r="H30" s="3" t="s">
        <v>542</v>
      </c>
      <c r="I30" s="4">
        <v>21460391586</v>
      </c>
      <c r="J30" s="4">
        <v>18000000000</v>
      </c>
      <c r="K30" s="4">
        <v>0</v>
      </c>
      <c r="L30" s="4">
        <v>0</v>
      </c>
      <c r="M30" s="4">
        <v>0</v>
      </c>
      <c r="N30" s="4">
        <v>39460391586</v>
      </c>
      <c r="O30" s="4">
        <v>39356122928</v>
      </c>
      <c r="P30" s="4">
        <v>39356122928</v>
      </c>
      <c r="Q30" s="4">
        <v>39356122928</v>
      </c>
      <c r="R30" s="4">
        <v>5026143683</v>
      </c>
      <c r="S30" s="4">
        <v>4982380951</v>
      </c>
      <c r="T30" s="4">
        <v>104268658</v>
      </c>
      <c r="U30" s="23" t="s">
        <v>543</v>
      </c>
      <c r="V30" s="24">
        <v>220107100</v>
      </c>
      <c r="W30" s="17"/>
      <c r="X30" s="17" t="s">
        <v>716</v>
      </c>
      <c r="Y30" s="15" t="s">
        <v>779</v>
      </c>
      <c r="Z30" s="17">
        <v>2024</v>
      </c>
      <c r="AA30" s="17" t="s">
        <v>716</v>
      </c>
      <c r="AB30" s="81">
        <v>2024</v>
      </c>
      <c r="AC30" s="16" t="s">
        <v>716</v>
      </c>
      <c r="AD30" s="16" t="s">
        <v>847</v>
      </c>
      <c r="AE30" s="16" t="s">
        <v>855</v>
      </c>
      <c r="AF30" s="16" t="str">
        <f>_xlfn.CONCAT(EjecucionHaciendaDiciembre[[#This Row],[NOMBRE_RUBRO]]," - ",EjecucionHaciendaDiciembre[[#This Row],[NOMBRE_RECURSO]])</f>
        <v>Aportes de cesantías - 1.2.4.1.01 - SGP-EDUCACION-PRESTACION DE SERVICIOS</v>
      </c>
      <c r="AH30" s="1"/>
      <c r="AI30" s="1"/>
      <c r="AJ30" s="1"/>
      <c r="AK30" s="1"/>
      <c r="AL30" s="1"/>
      <c r="AM30" s="1"/>
    </row>
    <row r="31" spans="1:39" ht="71.400000000000006" customHeight="1" x14ac:dyDescent="0.3">
      <c r="A31" s="3" t="s">
        <v>42</v>
      </c>
      <c r="B31" s="3" t="s">
        <v>136</v>
      </c>
      <c r="C31" s="2" t="s">
        <v>224</v>
      </c>
      <c r="D31" s="2" t="s">
        <v>300</v>
      </c>
      <c r="E31" s="2" t="s">
        <v>19</v>
      </c>
      <c r="F31" s="3" t="s">
        <v>381</v>
      </c>
      <c r="G31" s="2" t="s">
        <v>400</v>
      </c>
      <c r="H31" s="3" t="s">
        <v>542</v>
      </c>
      <c r="I31" s="4">
        <v>20133829191</v>
      </c>
      <c r="J31" s="4">
        <v>0</v>
      </c>
      <c r="K31" s="4">
        <v>0</v>
      </c>
      <c r="L31" s="4">
        <v>0</v>
      </c>
      <c r="M31" s="4">
        <v>0</v>
      </c>
      <c r="N31" s="4">
        <v>20133829191</v>
      </c>
      <c r="O31" s="4">
        <v>19622194500</v>
      </c>
      <c r="P31" s="4">
        <v>19622194500</v>
      </c>
      <c r="Q31" s="4">
        <v>19622194500</v>
      </c>
      <c r="R31" s="4">
        <v>19622194500</v>
      </c>
      <c r="S31" s="4">
        <v>17867388600</v>
      </c>
      <c r="T31" s="4">
        <v>511634691</v>
      </c>
      <c r="U31" s="23" t="s">
        <v>543</v>
      </c>
      <c r="V31" s="24">
        <v>220107100</v>
      </c>
      <c r="W31" s="17"/>
      <c r="X31" s="17" t="s">
        <v>716</v>
      </c>
      <c r="Y31" s="15" t="s">
        <v>779</v>
      </c>
      <c r="Z31" s="17">
        <v>2024</v>
      </c>
      <c r="AA31" s="17" t="s">
        <v>716</v>
      </c>
      <c r="AB31" s="81">
        <v>2024</v>
      </c>
      <c r="AC31" s="16" t="s">
        <v>716</v>
      </c>
      <c r="AD31" s="16" t="s">
        <v>847</v>
      </c>
      <c r="AE31" s="16" t="s">
        <v>855</v>
      </c>
      <c r="AF31" s="16" t="str">
        <f>_xlfn.CONCAT(EjecucionHaciendaDiciembre[[#This Row],[NOMBRE_RUBRO]]," - ",EjecucionHaciendaDiciembre[[#This Row],[NOMBRE_RECURSO]])</f>
        <v>Aportes a cajas de compensación familiar - 1.2.4.1.01 - SGP-EDUCACION-PRESTACION DE SERVICIOS</v>
      </c>
      <c r="AH31" s="1"/>
      <c r="AI31" s="1"/>
      <c r="AJ31" s="1"/>
      <c r="AK31" s="1"/>
      <c r="AL31" s="1"/>
      <c r="AM31" s="1"/>
    </row>
    <row r="32" spans="1:39" ht="72.599999999999994" customHeight="1" x14ac:dyDescent="0.3">
      <c r="A32" s="3" t="s">
        <v>43</v>
      </c>
      <c r="B32" s="3" t="s">
        <v>137</v>
      </c>
      <c r="C32" s="2" t="s">
        <v>224</v>
      </c>
      <c r="D32" s="2" t="s">
        <v>300</v>
      </c>
      <c r="E32" s="2" t="s">
        <v>19</v>
      </c>
      <c r="F32" s="3" t="s">
        <v>381</v>
      </c>
      <c r="G32" s="2" t="s">
        <v>400</v>
      </c>
      <c r="H32" s="3" t="s">
        <v>542</v>
      </c>
      <c r="I32" s="4">
        <v>177376640</v>
      </c>
      <c r="J32" s="4">
        <v>0</v>
      </c>
      <c r="K32" s="4">
        <v>0</v>
      </c>
      <c r="L32" s="4">
        <v>0</v>
      </c>
      <c r="M32" s="4">
        <v>0</v>
      </c>
      <c r="N32" s="4">
        <v>177376640</v>
      </c>
      <c r="O32" s="4">
        <v>130831204</v>
      </c>
      <c r="P32" s="4">
        <v>130831204</v>
      </c>
      <c r="Q32" s="4">
        <v>130831204</v>
      </c>
      <c r="R32" s="4">
        <v>130831204</v>
      </c>
      <c r="S32" s="4">
        <v>115897703</v>
      </c>
      <c r="T32" s="4">
        <v>46545436</v>
      </c>
      <c r="U32" s="23" t="s">
        <v>543</v>
      </c>
      <c r="V32" s="24">
        <v>220107100</v>
      </c>
      <c r="W32" s="17"/>
      <c r="X32" s="17" t="s">
        <v>716</v>
      </c>
      <c r="Y32" s="15" t="s">
        <v>779</v>
      </c>
      <c r="Z32" s="17">
        <v>2024</v>
      </c>
      <c r="AA32" s="17" t="s">
        <v>716</v>
      </c>
      <c r="AB32" s="81">
        <v>2024</v>
      </c>
      <c r="AC32" s="16" t="s">
        <v>716</v>
      </c>
      <c r="AD32" s="16" t="s">
        <v>847</v>
      </c>
      <c r="AE32" s="16" t="s">
        <v>855</v>
      </c>
      <c r="AF32" s="16" t="str">
        <f>_xlfn.CONCAT(EjecucionHaciendaDiciembre[[#This Row],[NOMBRE_RUBRO]]," - ",EjecucionHaciendaDiciembre[[#This Row],[NOMBRE_RECURSO]])</f>
        <v>Aportes generales al sistema de riesgos laborales - 1.2.4.1.01 - SGP-EDUCACION-PRESTACION DE SERVICIOS</v>
      </c>
      <c r="AH32" s="1"/>
      <c r="AI32" s="1"/>
      <c r="AJ32" s="1"/>
      <c r="AK32" s="1"/>
      <c r="AL32" s="1"/>
      <c r="AM32" s="1"/>
    </row>
    <row r="33" spans="1:39" ht="72.599999999999994" customHeight="1" x14ac:dyDescent="0.3">
      <c r="A33" s="3" t="s">
        <v>44</v>
      </c>
      <c r="B33" s="3" t="s">
        <v>138</v>
      </c>
      <c r="C33" s="2" t="s">
        <v>224</v>
      </c>
      <c r="D33" s="2" t="s">
        <v>300</v>
      </c>
      <c r="E33" s="2" t="s">
        <v>19</v>
      </c>
      <c r="F33" s="3" t="s">
        <v>381</v>
      </c>
      <c r="G33" s="2" t="s">
        <v>400</v>
      </c>
      <c r="H33" s="3" t="s">
        <v>542</v>
      </c>
      <c r="I33" s="4">
        <v>15101667840</v>
      </c>
      <c r="J33" s="4">
        <v>0</v>
      </c>
      <c r="K33" s="4">
        <v>0</v>
      </c>
      <c r="L33" s="4">
        <v>0</v>
      </c>
      <c r="M33" s="4">
        <v>0</v>
      </c>
      <c r="N33" s="4">
        <v>15101667840</v>
      </c>
      <c r="O33" s="4">
        <v>14717777800</v>
      </c>
      <c r="P33" s="4">
        <v>14717777800</v>
      </c>
      <c r="Q33" s="4">
        <v>14717777800</v>
      </c>
      <c r="R33" s="4">
        <v>14717777800</v>
      </c>
      <c r="S33" s="4">
        <v>13401495900</v>
      </c>
      <c r="T33" s="4">
        <v>383890040</v>
      </c>
      <c r="U33" s="23" t="s">
        <v>543</v>
      </c>
      <c r="V33" s="24">
        <v>220107100</v>
      </c>
      <c r="W33" s="17"/>
      <c r="X33" s="17" t="s">
        <v>716</v>
      </c>
      <c r="Y33" s="15" t="s">
        <v>779</v>
      </c>
      <c r="Z33" s="17">
        <v>2024</v>
      </c>
      <c r="AA33" s="17" t="s">
        <v>716</v>
      </c>
      <c r="AB33" s="81">
        <v>2024</v>
      </c>
      <c r="AC33" s="16" t="s">
        <v>716</v>
      </c>
      <c r="AD33" s="16" t="s">
        <v>847</v>
      </c>
      <c r="AE33" s="16" t="s">
        <v>855</v>
      </c>
      <c r="AF33" s="16" t="str">
        <f>_xlfn.CONCAT(EjecucionHaciendaDiciembre[[#This Row],[NOMBRE_RUBRO]]," - ",EjecucionHaciendaDiciembre[[#This Row],[NOMBRE_RECURSO]])</f>
        <v>Aportes al ICBF - 1.2.4.1.01 - SGP-EDUCACION-PRESTACION DE SERVICIOS</v>
      </c>
      <c r="AH33" s="1"/>
      <c r="AI33" s="1"/>
      <c r="AJ33" s="1"/>
      <c r="AK33" s="1"/>
      <c r="AL33" s="1"/>
      <c r="AM33" s="1"/>
    </row>
    <row r="34" spans="1:39" ht="71.400000000000006" customHeight="1" x14ac:dyDescent="0.3">
      <c r="A34" s="3" t="s">
        <v>45</v>
      </c>
      <c r="B34" s="3" t="s">
        <v>139</v>
      </c>
      <c r="C34" s="2" t="s">
        <v>224</v>
      </c>
      <c r="D34" s="2" t="s">
        <v>300</v>
      </c>
      <c r="E34" s="2" t="s">
        <v>19</v>
      </c>
      <c r="F34" s="3" t="s">
        <v>381</v>
      </c>
      <c r="G34" s="2" t="s">
        <v>400</v>
      </c>
      <c r="H34" s="3" t="s">
        <v>542</v>
      </c>
      <c r="I34" s="4">
        <v>2522816016</v>
      </c>
      <c r="J34" s="4">
        <v>0</v>
      </c>
      <c r="K34" s="4">
        <v>0</v>
      </c>
      <c r="L34" s="4">
        <v>0</v>
      </c>
      <c r="M34" s="4">
        <v>0</v>
      </c>
      <c r="N34" s="4">
        <v>2522816016</v>
      </c>
      <c r="O34" s="4">
        <v>2457042800</v>
      </c>
      <c r="P34" s="4">
        <v>2457042800</v>
      </c>
      <c r="Q34" s="4">
        <v>2457042800</v>
      </c>
      <c r="R34" s="4">
        <v>2457042800</v>
      </c>
      <c r="S34" s="4">
        <v>2237021900</v>
      </c>
      <c r="T34" s="4">
        <v>65773216</v>
      </c>
      <c r="U34" s="23" t="s">
        <v>543</v>
      </c>
      <c r="V34" s="24">
        <v>220107100</v>
      </c>
      <c r="W34" s="17"/>
      <c r="X34" s="17" t="s">
        <v>716</v>
      </c>
      <c r="Y34" s="15" t="s">
        <v>779</v>
      </c>
      <c r="Z34" s="17">
        <v>2024</v>
      </c>
      <c r="AA34" s="17" t="s">
        <v>716</v>
      </c>
      <c r="AB34" s="81">
        <v>2024</v>
      </c>
      <c r="AC34" s="16" t="s">
        <v>716</v>
      </c>
      <c r="AD34" s="16" t="s">
        <v>847</v>
      </c>
      <c r="AE34" s="16" t="s">
        <v>855</v>
      </c>
      <c r="AF34" s="16" t="str">
        <f>_xlfn.CONCAT(EjecucionHaciendaDiciembre[[#This Row],[NOMBRE_RUBRO]]," - ",EjecucionHaciendaDiciembre[[#This Row],[NOMBRE_RECURSO]])</f>
        <v>Aportes al SENA - 1.2.4.1.01 - SGP-EDUCACION-PRESTACION DE SERVICIOS</v>
      </c>
      <c r="AH34" s="1"/>
      <c r="AI34" s="1"/>
      <c r="AJ34" s="1"/>
      <c r="AK34" s="1"/>
      <c r="AL34" s="1"/>
      <c r="AM34" s="1"/>
    </row>
    <row r="35" spans="1:39" ht="76.2" customHeight="1" x14ac:dyDescent="0.3">
      <c r="A35" s="3" t="s">
        <v>46</v>
      </c>
      <c r="B35" s="3" t="s">
        <v>140</v>
      </c>
      <c r="C35" s="2" t="s">
        <v>224</v>
      </c>
      <c r="D35" s="2" t="s">
        <v>300</v>
      </c>
      <c r="E35" s="2" t="s">
        <v>19</v>
      </c>
      <c r="F35" s="3" t="s">
        <v>381</v>
      </c>
      <c r="G35" s="2" t="s">
        <v>400</v>
      </c>
      <c r="H35" s="3" t="s">
        <v>542</v>
      </c>
      <c r="I35" s="4">
        <v>2522816016</v>
      </c>
      <c r="J35" s="4">
        <v>0</v>
      </c>
      <c r="K35" s="4">
        <v>0</v>
      </c>
      <c r="L35" s="4">
        <v>0</v>
      </c>
      <c r="M35" s="4">
        <v>0</v>
      </c>
      <c r="N35" s="4">
        <v>2522816016</v>
      </c>
      <c r="O35" s="4">
        <v>2457042800</v>
      </c>
      <c r="P35" s="4">
        <v>2457042800</v>
      </c>
      <c r="Q35" s="4">
        <v>2457042800</v>
      </c>
      <c r="R35" s="4">
        <v>2457042800</v>
      </c>
      <c r="S35" s="4">
        <v>2237021900</v>
      </c>
      <c r="T35" s="4">
        <v>65773216</v>
      </c>
      <c r="U35" s="23" t="s">
        <v>543</v>
      </c>
      <c r="V35" s="24">
        <v>220107100</v>
      </c>
      <c r="W35" s="17"/>
      <c r="X35" s="17" t="s">
        <v>716</v>
      </c>
      <c r="Y35" s="15" t="s">
        <v>779</v>
      </c>
      <c r="Z35" s="17">
        <v>2024</v>
      </c>
      <c r="AA35" s="17" t="s">
        <v>716</v>
      </c>
      <c r="AB35" s="81">
        <v>2024</v>
      </c>
      <c r="AC35" s="16" t="s">
        <v>716</v>
      </c>
      <c r="AD35" s="16" t="s">
        <v>847</v>
      </c>
      <c r="AE35" s="16" t="s">
        <v>855</v>
      </c>
      <c r="AF35" s="16" t="str">
        <f>_xlfn.CONCAT(EjecucionHaciendaDiciembre[[#This Row],[NOMBRE_RUBRO]]," - ",EjecucionHaciendaDiciembre[[#This Row],[NOMBRE_RECURSO]])</f>
        <v>Aportes a la ESAP - 1.2.4.1.01 - SGP-EDUCACION-PRESTACION DE SERVICIOS</v>
      </c>
      <c r="AH35" s="1"/>
      <c r="AI35" s="1"/>
      <c r="AJ35" s="1"/>
      <c r="AK35" s="1"/>
      <c r="AL35" s="1"/>
      <c r="AM35" s="1"/>
    </row>
    <row r="36" spans="1:39" ht="78" customHeight="1" x14ac:dyDescent="0.3">
      <c r="A36" s="3" t="s">
        <v>47</v>
      </c>
      <c r="B36" s="3" t="s">
        <v>141</v>
      </c>
      <c r="C36" s="2" t="s">
        <v>224</v>
      </c>
      <c r="D36" s="2" t="s">
        <v>300</v>
      </c>
      <c r="E36" s="2" t="s">
        <v>19</v>
      </c>
      <c r="F36" s="3" t="s">
        <v>381</v>
      </c>
      <c r="G36" s="2" t="s">
        <v>400</v>
      </c>
      <c r="H36" s="3" t="s">
        <v>542</v>
      </c>
      <c r="I36" s="4">
        <v>5038281808</v>
      </c>
      <c r="J36" s="4">
        <v>0</v>
      </c>
      <c r="K36" s="4">
        <v>0</v>
      </c>
      <c r="L36" s="4">
        <v>0</v>
      </c>
      <c r="M36" s="4">
        <v>0</v>
      </c>
      <c r="N36" s="4">
        <v>5038281808</v>
      </c>
      <c r="O36" s="4">
        <v>4909384400</v>
      </c>
      <c r="P36" s="4">
        <v>4909384400</v>
      </c>
      <c r="Q36" s="4">
        <v>4909384400</v>
      </c>
      <c r="R36" s="4">
        <v>4909384400</v>
      </c>
      <c r="S36" s="4">
        <v>4470172600</v>
      </c>
      <c r="T36" s="4">
        <v>128897408</v>
      </c>
      <c r="U36" s="23" t="s">
        <v>543</v>
      </c>
      <c r="V36" s="24">
        <v>220107100</v>
      </c>
      <c r="W36" s="17"/>
      <c r="X36" s="17" t="s">
        <v>716</v>
      </c>
      <c r="Y36" s="15" t="s">
        <v>779</v>
      </c>
      <c r="Z36" s="17">
        <v>2024</v>
      </c>
      <c r="AA36" s="17" t="s">
        <v>716</v>
      </c>
      <c r="AB36" s="81">
        <v>2024</v>
      </c>
      <c r="AC36" s="16" t="s">
        <v>716</v>
      </c>
      <c r="AD36" s="16" t="s">
        <v>847</v>
      </c>
      <c r="AE36" s="16" t="s">
        <v>855</v>
      </c>
      <c r="AF36" s="16" t="str">
        <f>_xlfn.CONCAT(EjecucionHaciendaDiciembre[[#This Row],[NOMBRE_RUBRO]]," - ",EjecucionHaciendaDiciembre[[#This Row],[NOMBRE_RECURSO]])</f>
        <v>Aportes a escuelas industriales e institutos técnicos - 1.2.4.1.01 - SGP-EDUCACION-PRESTACION DE SERVICIOS</v>
      </c>
      <c r="AH36" s="1"/>
      <c r="AI36" s="1"/>
      <c r="AJ36" s="1"/>
      <c r="AK36" s="1"/>
      <c r="AL36" s="1"/>
      <c r="AM36" s="1"/>
    </row>
    <row r="37" spans="1:39" ht="28.8" x14ac:dyDescent="0.3">
      <c r="A37" s="14" t="s">
        <v>48</v>
      </c>
      <c r="B37" s="14" t="s">
        <v>142</v>
      </c>
      <c r="C37" s="15"/>
      <c r="D37" s="15"/>
      <c r="E37" s="15"/>
      <c r="F37" s="14"/>
      <c r="G37" s="15"/>
      <c r="H37" s="14"/>
      <c r="I37" s="16">
        <v>27783154879</v>
      </c>
      <c r="J37" s="16">
        <v>1100000000</v>
      </c>
      <c r="K37" s="16">
        <v>0</v>
      </c>
      <c r="L37" s="16">
        <v>0</v>
      </c>
      <c r="M37" s="16">
        <v>0</v>
      </c>
      <c r="N37" s="16">
        <v>28883154879</v>
      </c>
      <c r="O37" s="16">
        <v>28510302524</v>
      </c>
      <c r="P37" s="16">
        <v>28510302524</v>
      </c>
      <c r="Q37" s="16">
        <v>28510302524</v>
      </c>
      <c r="R37" s="16">
        <v>28510302524</v>
      </c>
      <c r="S37" s="16">
        <v>28496802075</v>
      </c>
      <c r="T37" s="16">
        <v>372852355</v>
      </c>
      <c r="U37" s="17"/>
      <c r="V37" s="17"/>
      <c r="W37" s="17"/>
      <c r="X37" s="17" t="s">
        <v>716</v>
      </c>
      <c r="Y37" s="15"/>
      <c r="Z37" s="17"/>
      <c r="AA37" s="17" t="s">
        <v>716</v>
      </c>
      <c r="AB37" s="81"/>
      <c r="AC37" s="16" t="s">
        <v>716</v>
      </c>
      <c r="AD37" s="16" t="s">
        <v>716</v>
      </c>
      <c r="AE37" s="16" t="s">
        <v>716</v>
      </c>
      <c r="AF37" s="16" t="str">
        <f>_xlfn.CONCAT(EjecucionHaciendaDiciembre[[#This Row],[NOMBRE_RUBRO]]," - ",EjecucionHaciendaDiciembre[[#This Row],[NOMBRE_RECURSO]])</f>
        <v xml:space="preserve">Remuneraciones no constitutivas de factor salarial - </v>
      </c>
      <c r="AH37" s="1"/>
      <c r="AI37" s="1"/>
      <c r="AJ37" s="1"/>
      <c r="AK37" s="1"/>
      <c r="AL37" s="1"/>
      <c r="AM37" s="1"/>
    </row>
    <row r="38" spans="1:39" ht="14.4" x14ac:dyDescent="0.3">
      <c r="A38" s="14" t="s">
        <v>49</v>
      </c>
      <c r="B38" s="14" t="s">
        <v>129</v>
      </c>
      <c r="C38" s="15"/>
      <c r="D38" s="15"/>
      <c r="E38" s="15"/>
      <c r="F38" s="14"/>
      <c r="G38" s="15"/>
      <c r="H38" s="14"/>
      <c r="I38" s="16">
        <v>126441719</v>
      </c>
      <c r="J38" s="16">
        <v>0</v>
      </c>
      <c r="K38" s="16">
        <v>0</v>
      </c>
      <c r="L38" s="16">
        <v>0</v>
      </c>
      <c r="M38" s="16">
        <v>0</v>
      </c>
      <c r="N38" s="16">
        <v>126441719</v>
      </c>
      <c r="O38" s="16">
        <v>124392656</v>
      </c>
      <c r="P38" s="16">
        <v>124392656</v>
      </c>
      <c r="Q38" s="16">
        <v>124392656</v>
      </c>
      <c r="R38" s="16">
        <v>124392656</v>
      </c>
      <c r="S38" s="16">
        <v>124392656</v>
      </c>
      <c r="T38" s="16">
        <v>2049063</v>
      </c>
      <c r="U38" s="17"/>
      <c r="V38" s="17"/>
      <c r="W38" s="17"/>
      <c r="X38" s="17" t="s">
        <v>716</v>
      </c>
      <c r="Y38" s="15"/>
      <c r="Z38" s="17"/>
      <c r="AA38" s="17" t="s">
        <v>716</v>
      </c>
      <c r="AB38" s="81"/>
      <c r="AC38" s="16" t="s">
        <v>716</v>
      </c>
      <c r="AD38" s="16" t="s">
        <v>716</v>
      </c>
      <c r="AE38" s="16" t="s">
        <v>716</v>
      </c>
      <c r="AF38" s="16" t="str">
        <f>_xlfn.CONCAT(EjecucionHaciendaDiciembre[[#This Row],[NOMBRE_RUBRO]]," - ",EjecucionHaciendaDiciembre[[#This Row],[NOMBRE_RECURSO]])</f>
        <v xml:space="preserve">Prestaciones sociales - </v>
      </c>
      <c r="AH38" s="1"/>
      <c r="AI38" s="1"/>
      <c r="AJ38" s="1"/>
      <c r="AK38" s="1"/>
      <c r="AL38" s="1"/>
      <c r="AM38" s="1"/>
    </row>
    <row r="39" spans="1:39" ht="82.5" customHeight="1" x14ac:dyDescent="0.3">
      <c r="A39" s="3" t="s">
        <v>50</v>
      </c>
      <c r="B39" s="3" t="s">
        <v>143</v>
      </c>
      <c r="C39" s="2" t="s">
        <v>224</v>
      </c>
      <c r="D39" s="2" t="s">
        <v>300</v>
      </c>
      <c r="E39" s="2" t="s">
        <v>19</v>
      </c>
      <c r="F39" s="3" t="s">
        <v>381</v>
      </c>
      <c r="G39" s="2" t="s">
        <v>400</v>
      </c>
      <c r="H39" s="3" t="s">
        <v>542</v>
      </c>
      <c r="I39" s="4">
        <v>126441719</v>
      </c>
      <c r="J39" s="4">
        <v>0</v>
      </c>
      <c r="K39" s="4">
        <v>0</v>
      </c>
      <c r="L39" s="4">
        <v>0</v>
      </c>
      <c r="M39" s="4">
        <v>0</v>
      </c>
      <c r="N39" s="4">
        <v>126441719</v>
      </c>
      <c r="O39" s="4">
        <v>124392656</v>
      </c>
      <c r="P39" s="4">
        <v>124392656</v>
      </c>
      <c r="Q39" s="4">
        <v>124392656</v>
      </c>
      <c r="R39" s="4">
        <v>124392656</v>
      </c>
      <c r="S39" s="4">
        <v>124392656</v>
      </c>
      <c r="T39" s="4">
        <v>2049063</v>
      </c>
      <c r="U39" s="23" t="s">
        <v>543</v>
      </c>
      <c r="V39" s="24">
        <v>220107100</v>
      </c>
      <c r="W39" s="17"/>
      <c r="X39" s="17" t="s">
        <v>716</v>
      </c>
      <c r="Y39" s="15" t="s">
        <v>779</v>
      </c>
      <c r="Z39" s="17">
        <v>2024</v>
      </c>
      <c r="AA39" s="17" t="s">
        <v>716</v>
      </c>
      <c r="AB39" s="81">
        <v>2024</v>
      </c>
      <c r="AC39" s="16" t="s">
        <v>716</v>
      </c>
      <c r="AD39" s="16" t="s">
        <v>847</v>
      </c>
      <c r="AE39" s="16" t="s">
        <v>855</v>
      </c>
      <c r="AF39" s="16" t="str">
        <f>_xlfn.CONCAT(EjecucionHaciendaDiciembre[[#This Row],[NOMBRE_RUBRO]]," - ",EjecucionHaciendaDiciembre[[#This Row],[NOMBRE_RECURSO]])</f>
        <v>Bonificación especial de recreación - 1.2.4.1.01 - SGP-EDUCACION-PRESTACION DE SERVICIOS</v>
      </c>
      <c r="AH39" s="1"/>
      <c r="AI39" s="1"/>
      <c r="AJ39" s="1"/>
      <c r="AK39" s="1"/>
      <c r="AL39" s="1"/>
      <c r="AM39" s="1"/>
    </row>
    <row r="40" spans="1:39" ht="82.5" customHeight="1" x14ac:dyDescent="0.3">
      <c r="A40" s="3" t="s">
        <v>51</v>
      </c>
      <c r="B40" s="3" t="s">
        <v>175</v>
      </c>
      <c r="C40" s="2" t="s">
        <v>224</v>
      </c>
      <c r="D40" s="2" t="s">
        <v>300</v>
      </c>
      <c r="E40" s="2" t="s">
        <v>19</v>
      </c>
      <c r="F40" s="3" t="s">
        <v>381</v>
      </c>
      <c r="G40" s="2" t="s">
        <v>400</v>
      </c>
      <c r="H40" s="3" t="s">
        <v>542</v>
      </c>
      <c r="I40" s="4">
        <v>1217440000</v>
      </c>
      <c r="J40" s="4">
        <v>0</v>
      </c>
      <c r="K40" s="4">
        <v>0</v>
      </c>
      <c r="L40" s="4">
        <v>0</v>
      </c>
      <c r="M40" s="4">
        <v>0</v>
      </c>
      <c r="N40" s="4">
        <v>1217440000</v>
      </c>
      <c r="O40" s="4">
        <v>1007250324</v>
      </c>
      <c r="P40" s="4">
        <v>1007250324</v>
      </c>
      <c r="Q40" s="4">
        <v>1007250324</v>
      </c>
      <c r="R40" s="4">
        <v>1007250324</v>
      </c>
      <c r="S40" s="4">
        <v>1007250324</v>
      </c>
      <c r="T40" s="4">
        <v>210189676</v>
      </c>
      <c r="U40" s="23" t="s">
        <v>543</v>
      </c>
      <c r="V40" s="24">
        <v>220107100</v>
      </c>
      <c r="W40" s="17"/>
      <c r="X40" s="17" t="s">
        <v>716</v>
      </c>
      <c r="Y40" s="15" t="s">
        <v>779</v>
      </c>
      <c r="Z40" s="17">
        <v>2024</v>
      </c>
      <c r="AA40" s="17" t="s">
        <v>716</v>
      </c>
      <c r="AB40" s="81">
        <v>2024</v>
      </c>
      <c r="AC40" s="16" t="s">
        <v>716</v>
      </c>
      <c r="AD40" s="16" t="s">
        <v>847</v>
      </c>
      <c r="AE40" s="16" t="s">
        <v>855</v>
      </c>
      <c r="AF40" s="16" t="str">
        <f>_xlfn.CONCAT(EjecucionHaciendaDiciembre[[#This Row],[NOMBRE_RUBRO]]," - ",EjecucionHaciendaDiciembre[[#This Row],[NOMBRE_RECURSO]])</f>
        <v>Prima técnica no salarial - 1.2.4.1.01 - SGP-EDUCACION-PRESTACION DE SERVICIOS</v>
      </c>
      <c r="AH40" s="1"/>
      <c r="AI40" s="1"/>
      <c r="AJ40" s="1"/>
      <c r="AK40" s="1"/>
      <c r="AL40" s="1"/>
      <c r="AM40" s="1"/>
    </row>
    <row r="41" spans="1:39" ht="82.5" customHeight="1" x14ac:dyDescent="0.3">
      <c r="A41" s="3" t="s">
        <v>52</v>
      </c>
      <c r="B41" s="3" t="s">
        <v>176</v>
      </c>
      <c r="C41" s="2" t="s">
        <v>224</v>
      </c>
      <c r="D41" s="2" t="s">
        <v>300</v>
      </c>
      <c r="E41" s="2" t="s">
        <v>19</v>
      </c>
      <c r="F41" s="3" t="s">
        <v>381</v>
      </c>
      <c r="G41" s="2" t="s">
        <v>400</v>
      </c>
      <c r="H41" s="3" t="s">
        <v>542</v>
      </c>
      <c r="I41" s="4">
        <v>414030915</v>
      </c>
      <c r="J41" s="4">
        <v>0</v>
      </c>
      <c r="K41" s="4">
        <v>0</v>
      </c>
      <c r="L41" s="4">
        <v>0</v>
      </c>
      <c r="M41" s="4">
        <v>0</v>
      </c>
      <c r="N41" s="4">
        <v>414030915</v>
      </c>
      <c r="O41" s="4">
        <v>389706156</v>
      </c>
      <c r="P41" s="4">
        <v>389706156</v>
      </c>
      <c r="Q41" s="4">
        <v>389706156</v>
      </c>
      <c r="R41" s="4">
        <v>389706156</v>
      </c>
      <c r="S41" s="4">
        <v>389706156</v>
      </c>
      <c r="T41" s="4">
        <v>24324759</v>
      </c>
      <c r="U41" s="23" t="s">
        <v>543</v>
      </c>
      <c r="V41" s="24">
        <v>220107100</v>
      </c>
      <c r="W41" s="17"/>
      <c r="X41" s="17" t="s">
        <v>716</v>
      </c>
      <c r="Y41" s="15" t="s">
        <v>779</v>
      </c>
      <c r="Z41" s="17">
        <v>2024</v>
      </c>
      <c r="AA41" s="17" t="s">
        <v>716</v>
      </c>
      <c r="AB41" s="81">
        <v>2024</v>
      </c>
      <c r="AC41" s="16" t="s">
        <v>716</v>
      </c>
      <c r="AD41" s="16" t="s">
        <v>847</v>
      </c>
      <c r="AE41" s="16" t="s">
        <v>855</v>
      </c>
      <c r="AF41" s="16" t="str">
        <f>_xlfn.CONCAT(EjecucionHaciendaDiciembre[[#This Row],[NOMBRE_RUBRO]]," - ",EjecucionHaciendaDiciembre[[#This Row],[NOMBRE_RECURSO]])</f>
        <v>Auxilio de movilización - 1.2.4.1.01 - SGP-EDUCACION-PRESTACION DE SERVICIOS</v>
      </c>
      <c r="AH41" s="1"/>
      <c r="AI41" s="1"/>
      <c r="AJ41" s="1"/>
      <c r="AK41" s="1"/>
      <c r="AL41" s="1"/>
      <c r="AM41" s="1"/>
    </row>
    <row r="42" spans="1:39" ht="82.5" customHeight="1" x14ac:dyDescent="0.3">
      <c r="A42" s="3" t="s">
        <v>53</v>
      </c>
      <c r="B42" s="3" t="s">
        <v>177</v>
      </c>
      <c r="C42" s="2" t="s">
        <v>224</v>
      </c>
      <c r="D42" s="2" t="s">
        <v>300</v>
      </c>
      <c r="E42" s="2" t="s">
        <v>19</v>
      </c>
      <c r="F42" s="3" t="s">
        <v>381</v>
      </c>
      <c r="G42" s="2" t="s">
        <v>400</v>
      </c>
      <c r="H42" s="3" t="s">
        <v>542</v>
      </c>
      <c r="I42" s="4">
        <v>22724794168</v>
      </c>
      <c r="J42" s="4">
        <v>1000000000</v>
      </c>
      <c r="K42" s="4">
        <v>0</v>
      </c>
      <c r="L42" s="4">
        <v>0</v>
      </c>
      <c r="M42" s="4">
        <v>0</v>
      </c>
      <c r="N42" s="4">
        <v>23724794168</v>
      </c>
      <c r="O42" s="4">
        <v>23646531850</v>
      </c>
      <c r="P42" s="4">
        <v>23646531850</v>
      </c>
      <c r="Q42" s="4">
        <v>23646531850</v>
      </c>
      <c r="R42" s="4">
        <v>23646531850</v>
      </c>
      <c r="S42" s="4">
        <v>23633031401</v>
      </c>
      <c r="T42" s="4">
        <v>78262318</v>
      </c>
      <c r="U42" s="23" t="s">
        <v>543</v>
      </c>
      <c r="V42" s="24">
        <v>220107100</v>
      </c>
      <c r="W42" s="17"/>
      <c r="X42" s="17" t="s">
        <v>716</v>
      </c>
      <c r="Y42" s="15" t="s">
        <v>779</v>
      </c>
      <c r="Z42" s="17">
        <v>2024</v>
      </c>
      <c r="AA42" s="17" t="s">
        <v>716</v>
      </c>
      <c r="AB42" s="81">
        <v>2024</v>
      </c>
      <c r="AC42" s="16" t="s">
        <v>716</v>
      </c>
      <c r="AD42" s="16" t="s">
        <v>847</v>
      </c>
      <c r="AE42" s="16" t="s">
        <v>855</v>
      </c>
      <c r="AF42" s="16" t="str">
        <f>_xlfn.CONCAT(EjecucionHaciendaDiciembre[[#This Row],[NOMBRE_RUBRO]]," - ",EjecucionHaciendaDiciembre[[#This Row],[NOMBRE_RECURSO]])</f>
        <v>Bonificación Zona de Difícil Acceso docentes Prescolar, Básica y Media - 1.2.4.1.01 - SGP-EDUCACION-PRESTACION DE SERVICIOS</v>
      </c>
      <c r="AH42" s="1"/>
      <c r="AI42" s="1"/>
      <c r="AJ42" s="1"/>
      <c r="AK42" s="1"/>
      <c r="AL42" s="1"/>
      <c r="AM42" s="1"/>
    </row>
    <row r="43" spans="1:39" ht="82.5" customHeight="1" x14ac:dyDescent="0.3">
      <c r="A43" s="3" t="s">
        <v>54</v>
      </c>
      <c r="B43" s="3" t="s">
        <v>178</v>
      </c>
      <c r="C43" s="2" t="s">
        <v>224</v>
      </c>
      <c r="D43" s="2" t="s">
        <v>300</v>
      </c>
      <c r="E43" s="2" t="s">
        <v>19</v>
      </c>
      <c r="F43" s="3" t="s">
        <v>381</v>
      </c>
      <c r="G43" s="2" t="s">
        <v>400</v>
      </c>
      <c r="H43" s="3" t="s">
        <v>542</v>
      </c>
      <c r="I43" s="4">
        <v>3300448077</v>
      </c>
      <c r="J43" s="4">
        <v>100000000</v>
      </c>
      <c r="K43" s="4">
        <v>0</v>
      </c>
      <c r="L43" s="4">
        <v>0</v>
      </c>
      <c r="M43" s="4">
        <v>0</v>
      </c>
      <c r="N43" s="4">
        <v>3400448077</v>
      </c>
      <c r="O43" s="4">
        <v>3342421538</v>
      </c>
      <c r="P43" s="4">
        <v>3342421538</v>
      </c>
      <c r="Q43" s="4">
        <v>3342421538</v>
      </c>
      <c r="R43" s="4">
        <v>3342421538</v>
      </c>
      <c r="S43" s="4">
        <v>3342421538</v>
      </c>
      <c r="T43" s="4">
        <v>58026539</v>
      </c>
      <c r="U43" s="23" t="s">
        <v>543</v>
      </c>
      <c r="V43" s="24">
        <v>220107100</v>
      </c>
      <c r="W43" s="17"/>
      <c r="X43" s="17" t="s">
        <v>716</v>
      </c>
      <c r="Y43" s="15" t="s">
        <v>779</v>
      </c>
      <c r="Z43" s="17">
        <v>2024</v>
      </c>
      <c r="AA43" s="17" t="s">
        <v>716</v>
      </c>
      <c r="AB43" s="81">
        <v>2024</v>
      </c>
      <c r="AC43" s="16" t="s">
        <v>716</v>
      </c>
      <c r="AD43" s="16" t="s">
        <v>847</v>
      </c>
      <c r="AE43" s="16" t="s">
        <v>855</v>
      </c>
      <c r="AF43" s="16" t="str">
        <f>_xlfn.CONCAT(EjecucionHaciendaDiciembre[[#This Row],[NOMBRE_RUBRO]]," - ",EjecucionHaciendaDiciembre[[#This Row],[NOMBRE_RECURSO]])</f>
        <v>Bonificación Grado 14 docentes Prescolar, Básica y Media - 1.2.4.1.01 - SGP-EDUCACION-PRESTACION DE SERVICIOS</v>
      </c>
      <c r="AH43" s="1"/>
      <c r="AI43" s="1"/>
      <c r="AJ43" s="1"/>
      <c r="AK43" s="1"/>
      <c r="AL43" s="1"/>
      <c r="AM43" s="1"/>
    </row>
    <row r="44" spans="1:39" ht="14.4" x14ac:dyDescent="0.3">
      <c r="A44" s="14" t="s">
        <v>55</v>
      </c>
      <c r="B44" s="14" t="s">
        <v>144</v>
      </c>
      <c r="C44" s="15"/>
      <c r="D44" s="15"/>
      <c r="E44" s="15"/>
      <c r="F44" s="14"/>
      <c r="G44" s="15"/>
      <c r="H44" s="14"/>
      <c r="I44" s="16">
        <v>75702646507.520004</v>
      </c>
      <c r="J44" s="16">
        <v>283937062877.26001</v>
      </c>
      <c r="K44" s="16">
        <v>0</v>
      </c>
      <c r="L44" s="16">
        <v>43300182687.010002</v>
      </c>
      <c r="M44" s="16">
        <v>39543415432.419998</v>
      </c>
      <c r="N44" s="16">
        <v>363396476639.37</v>
      </c>
      <c r="O44" s="16">
        <v>301959346065.08002</v>
      </c>
      <c r="P44" s="16">
        <v>301959346065.08002</v>
      </c>
      <c r="Q44" s="16">
        <v>286158895114.03003</v>
      </c>
      <c r="R44" s="16">
        <v>102099932632.2</v>
      </c>
      <c r="S44" s="16">
        <v>99744902493.880005</v>
      </c>
      <c r="T44" s="16">
        <v>61437130574.290001</v>
      </c>
      <c r="U44" s="17"/>
      <c r="V44" s="17"/>
      <c r="W44" s="17"/>
      <c r="X44" s="17" t="s">
        <v>716</v>
      </c>
      <c r="Y44" s="15"/>
      <c r="Z44" s="17"/>
      <c r="AA44" s="17" t="s">
        <v>716</v>
      </c>
      <c r="AB44" s="81"/>
      <c r="AC44" s="16" t="s">
        <v>716</v>
      </c>
      <c r="AD44" s="16" t="s">
        <v>716</v>
      </c>
      <c r="AE44" s="16" t="s">
        <v>716</v>
      </c>
      <c r="AF44" s="16" t="str">
        <f>_xlfn.CONCAT(EjecucionHaciendaDiciembre[[#This Row],[NOMBRE_RUBRO]]," - ",EjecucionHaciendaDiciembre[[#This Row],[NOMBRE_RECURSO]])</f>
        <v xml:space="preserve">Adquisición de bienes y servicios - </v>
      </c>
      <c r="AH44" s="1"/>
      <c r="AI44" s="1"/>
      <c r="AJ44" s="1"/>
      <c r="AK44" s="1"/>
      <c r="AL44" s="1"/>
      <c r="AM44" s="1"/>
    </row>
    <row r="45" spans="1:39" ht="14.4" x14ac:dyDescent="0.3">
      <c r="A45" s="14" t="s">
        <v>56</v>
      </c>
      <c r="B45" s="14" t="s">
        <v>145</v>
      </c>
      <c r="C45" s="15"/>
      <c r="D45" s="15"/>
      <c r="E45" s="15"/>
      <c r="F45" s="14"/>
      <c r="G45" s="15"/>
      <c r="H45" s="14"/>
      <c r="I45" s="16">
        <v>18058005493</v>
      </c>
      <c r="J45" s="16">
        <v>233179991697.32999</v>
      </c>
      <c r="K45" s="16">
        <v>0</v>
      </c>
      <c r="L45" s="16">
        <v>12557556603.91</v>
      </c>
      <c r="M45" s="16">
        <v>10187973534.23</v>
      </c>
      <c r="N45" s="16">
        <v>253607580260.01001</v>
      </c>
      <c r="O45" s="16">
        <v>208609285505.85999</v>
      </c>
      <c r="P45" s="16">
        <v>208609285505.85999</v>
      </c>
      <c r="Q45" s="16">
        <v>198293391576.53</v>
      </c>
      <c r="R45" s="16">
        <v>28620416981</v>
      </c>
      <c r="S45" s="16">
        <v>27904563525.580002</v>
      </c>
      <c r="T45" s="16">
        <v>44998294754.150002</v>
      </c>
      <c r="U45" s="17"/>
      <c r="V45" s="17"/>
      <c r="W45" s="17"/>
      <c r="X45" s="17" t="s">
        <v>716</v>
      </c>
      <c r="Y45" s="15"/>
      <c r="Z45" s="17"/>
      <c r="AA45" s="17" t="s">
        <v>716</v>
      </c>
      <c r="AB45" s="81"/>
      <c r="AC45" s="16" t="s">
        <v>716</v>
      </c>
      <c r="AD45" s="16" t="s">
        <v>716</v>
      </c>
      <c r="AE45" s="16" t="s">
        <v>716</v>
      </c>
      <c r="AF45" s="16" t="str">
        <f>_xlfn.CONCAT(EjecucionHaciendaDiciembre[[#This Row],[NOMBRE_RUBRO]]," - ",EjecucionHaciendaDiciembre[[#This Row],[NOMBRE_RECURSO]])</f>
        <v xml:space="preserve">Adquisición de activos no financieros - </v>
      </c>
      <c r="AH45" s="1"/>
      <c r="AI45" s="1"/>
      <c r="AJ45" s="1"/>
      <c r="AK45" s="1"/>
      <c r="AL45" s="1"/>
      <c r="AM45" s="1"/>
    </row>
    <row r="46" spans="1:39" ht="14.4" x14ac:dyDescent="0.3">
      <c r="A46" s="14" t="s">
        <v>57</v>
      </c>
      <c r="B46" s="14" t="s">
        <v>146</v>
      </c>
      <c r="C46" s="15"/>
      <c r="D46" s="15"/>
      <c r="E46" s="15"/>
      <c r="F46" s="14"/>
      <c r="G46" s="15"/>
      <c r="H46" s="14"/>
      <c r="I46" s="16">
        <v>17877345493</v>
      </c>
      <c r="J46" s="16">
        <v>233179991697.32999</v>
      </c>
      <c r="K46" s="16">
        <v>0</v>
      </c>
      <c r="L46" s="16">
        <v>12557556603.91</v>
      </c>
      <c r="M46" s="16">
        <v>10187973534.23</v>
      </c>
      <c r="N46" s="16">
        <v>253426920260.01001</v>
      </c>
      <c r="O46" s="16">
        <v>208428625505.85999</v>
      </c>
      <c r="P46" s="16">
        <v>208428625505.85999</v>
      </c>
      <c r="Q46" s="16">
        <v>198112731576.53</v>
      </c>
      <c r="R46" s="16">
        <v>28439756981</v>
      </c>
      <c r="S46" s="16">
        <v>27723903525.580002</v>
      </c>
      <c r="T46" s="16">
        <v>44998294754.150002</v>
      </c>
      <c r="U46" s="17"/>
      <c r="V46" s="17"/>
      <c r="W46" s="17"/>
      <c r="X46" s="17" t="s">
        <v>716</v>
      </c>
      <c r="Y46" s="15"/>
      <c r="Z46" s="17"/>
      <c r="AA46" s="17" t="s">
        <v>716</v>
      </c>
      <c r="AB46" s="81"/>
      <c r="AC46" s="16" t="s">
        <v>716</v>
      </c>
      <c r="AD46" s="16" t="s">
        <v>716</v>
      </c>
      <c r="AE46" s="16" t="s">
        <v>716</v>
      </c>
      <c r="AF46" s="16" t="str">
        <f>_xlfn.CONCAT(EjecucionHaciendaDiciembre[[#This Row],[NOMBRE_RUBRO]]," - ",EjecucionHaciendaDiciembre[[#This Row],[NOMBRE_RECURSO]])</f>
        <v xml:space="preserve">Activos fijos - </v>
      </c>
      <c r="AH46" s="1"/>
      <c r="AI46" s="1"/>
      <c r="AJ46" s="1"/>
      <c r="AK46" s="1"/>
      <c r="AL46" s="1"/>
      <c r="AM46" s="1"/>
    </row>
    <row r="47" spans="1:39" ht="14.4" x14ac:dyDescent="0.3">
      <c r="A47" s="14" t="s">
        <v>58</v>
      </c>
      <c r="B47" s="14" t="s">
        <v>179</v>
      </c>
      <c r="C47" s="15"/>
      <c r="D47" s="15"/>
      <c r="E47" s="15"/>
      <c r="F47" s="14"/>
      <c r="G47" s="15"/>
      <c r="H47" s="14"/>
      <c r="I47" s="16">
        <v>5337966195</v>
      </c>
      <c r="J47" s="16">
        <v>226271614616.32999</v>
      </c>
      <c r="K47" s="16">
        <v>0</v>
      </c>
      <c r="L47" s="16">
        <v>4005752622.9099998</v>
      </c>
      <c r="M47" s="16">
        <v>2837973534.23</v>
      </c>
      <c r="N47" s="16">
        <v>232777359900.01001</v>
      </c>
      <c r="O47" s="16">
        <v>191082692655.85999</v>
      </c>
      <c r="P47" s="16">
        <v>191082692655.85999</v>
      </c>
      <c r="Q47" s="16">
        <v>182876577880.45999</v>
      </c>
      <c r="R47" s="16">
        <v>24798744084.009998</v>
      </c>
      <c r="S47" s="16">
        <v>24529991605.509998</v>
      </c>
      <c r="T47" s="16">
        <v>41694667244.150002</v>
      </c>
      <c r="U47" s="17"/>
      <c r="V47" s="17"/>
      <c r="W47" s="17"/>
      <c r="X47" s="17" t="s">
        <v>716</v>
      </c>
      <c r="Y47" s="15"/>
      <c r="Z47" s="17"/>
      <c r="AA47" s="17" t="s">
        <v>716</v>
      </c>
      <c r="AB47" s="81"/>
      <c r="AC47" s="16" t="s">
        <v>716</v>
      </c>
      <c r="AD47" s="16" t="s">
        <v>716</v>
      </c>
      <c r="AE47" s="16" t="s">
        <v>716</v>
      </c>
      <c r="AF47" s="16" t="str">
        <f>_xlfn.CONCAT(EjecucionHaciendaDiciembre[[#This Row],[NOMBRE_RUBRO]]," - ",EjecucionHaciendaDiciembre[[#This Row],[NOMBRE_RECURSO]])</f>
        <v xml:space="preserve">Edificaciones y estructuras - </v>
      </c>
      <c r="AH47" s="1"/>
      <c r="AI47" s="1"/>
      <c r="AJ47" s="1"/>
      <c r="AK47" s="1"/>
      <c r="AL47" s="1"/>
      <c r="AM47" s="1"/>
    </row>
    <row r="48" spans="1:39" ht="14.4" x14ac:dyDescent="0.3">
      <c r="A48" s="14" t="s">
        <v>59</v>
      </c>
      <c r="B48" s="14" t="s">
        <v>180</v>
      </c>
      <c r="C48" s="15"/>
      <c r="D48" s="15"/>
      <c r="E48" s="15"/>
      <c r="F48" s="14"/>
      <c r="G48" s="15"/>
      <c r="H48" s="14"/>
      <c r="I48" s="16">
        <v>0</v>
      </c>
      <c r="J48" s="16">
        <v>5850000000</v>
      </c>
      <c r="K48" s="16">
        <v>0</v>
      </c>
      <c r="L48" s="16">
        <v>190000000</v>
      </c>
      <c r="M48" s="16">
        <v>0</v>
      </c>
      <c r="N48" s="16">
        <v>6040000000</v>
      </c>
      <c r="O48" s="16">
        <v>190000000</v>
      </c>
      <c r="P48" s="16">
        <v>190000000</v>
      </c>
      <c r="Q48" s="16">
        <v>190000000</v>
      </c>
      <c r="R48" s="16">
        <v>190000000</v>
      </c>
      <c r="S48" s="16">
        <v>190000000</v>
      </c>
      <c r="T48" s="16">
        <v>5850000000</v>
      </c>
      <c r="U48" s="17"/>
      <c r="V48" s="17"/>
      <c r="W48" s="17"/>
      <c r="X48" s="17" t="s">
        <v>716</v>
      </c>
      <c r="Y48" s="15"/>
      <c r="Z48" s="17"/>
      <c r="AA48" s="17" t="s">
        <v>716</v>
      </c>
      <c r="AB48" s="81"/>
      <c r="AC48" s="16" t="s">
        <v>716</v>
      </c>
      <c r="AD48" s="16" t="s">
        <v>716</v>
      </c>
      <c r="AE48" s="16" t="s">
        <v>716</v>
      </c>
      <c r="AF48" s="16" t="str">
        <f>_xlfn.CONCAT(EjecucionHaciendaDiciembre[[#This Row],[NOMBRE_RUBRO]]," - ",EjecucionHaciendaDiciembre[[#This Row],[NOMBRE_RECURSO]])</f>
        <v xml:space="preserve">Viviendas - </v>
      </c>
      <c r="AH48" s="1"/>
      <c r="AI48" s="1"/>
      <c r="AJ48" s="1"/>
      <c r="AK48" s="1"/>
      <c r="AL48" s="1"/>
      <c r="AM48" s="1"/>
    </row>
    <row r="49" spans="1:39" ht="43.2" x14ac:dyDescent="0.3">
      <c r="A49" s="3" t="s">
        <v>60</v>
      </c>
      <c r="B49" s="3" t="s">
        <v>181</v>
      </c>
      <c r="C49" s="2" t="s">
        <v>218</v>
      </c>
      <c r="D49" s="2" t="s">
        <v>294</v>
      </c>
      <c r="E49" s="2" t="s">
        <v>369</v>
      </c>
      <c r="F49" s="3" t="s">
        <v>382</v>
      </c>
      <c r="G49" s="2" t="s">
        <v>401</v>
      </c>
      <c r="H49" s="3" t="s">
        <v>690</v>
      </c>
      <c r="I49" s="4">
        <v>0</v>
      </c>
      <c r="J49" s="4">
        <v>0</v>
      </c>
      <c r="K49" s="4">
        <v>0</v>
      </c>
      <c r="L49" s="4">
        <v>190000000</v>
      </c>
      <c r="M49" s="4">
        <v>0</v>
      </c>
      <c r="N49" s="4">
        <v>190000000</v>
      </c>
      <c r="O49" s="4">
        <v>190000000</v>
      </c>
      <c r="P49" s="4">
        <v>190000000</v>
      </c>
      <c r="Q49" s="4">
        <v>190000000</v>
      </c>
      <c r="R49" s="4">
        <v>190000000</v>
      </c>
      <c r="S49" s="4">
        <v>190000000</v>
      </c>
      <c r="T49" s="4">
        <v>0</v>
      </c>
      <c r="U49" s="23" t="s">
        <v>691</v>
      </c>
      <c r="V49" s="31">
        <v>400104300</v>
      </c>
      <c r="W49" s="17" t="s">
        <v>652</v>
      </c>
      <c r="X49" s="17" t="s">
        <v>748</v>
      </c>
      <c r="Y49" s="15" t="s">
        <v>780</v>
      </c>
      <c r="Z49" s="17" t="s">
        <v>780</v>
      </c>
      <c r="AA49" s="17" t="s">
        <v>716</v>
      </c>
      <c r="AB49" s="81" t="s">
        <v>780</v>
      </c>
      <c r="AC49" s="16" t="s">
        <v>716</v>
      </c>
      <c r="AD49" s="16" t="s">
        <v>849</v>
      </c>
      <c r="AE49" s="16" t="s">
        <v>856</v>
      </c>
      <c r="AF49" s="16" t="str">
        <f>_xlfn.CONCAT(EjecucionHaciendaDiciembre[[#This Row],[NOMBRE_RUBRO]]," - ",EjecucionHaciendaDiciembre[[#This Row],[NOMBRE_RECURSO]])</f>
        <v>Edificios utilizados para residencia - 1.3.3.1.00-RECURSOS DEL BALANCE DE LIBRE DESTINACION</v>
      </c>
      <c r="AH49" s="1"/>
      <c r="AI49" s="1"/>
      <c r="AJ49" s="1"/>
      <c r="AK49" s="1"/>
      <c r="AL49" s="1"/>
      <c r="AM49" s="1"/>
    </row>
    <row r="50" spans="1:39" ht="28.8" x14ac:dyDescent="0.3">
      <c r="A50" s="32" t="s">
        <v>61</v>
      </c>
      <c r="B50" s="32" t="s">
        <v>182</v>
      </c>
      <c r="C50" s="33" t="s">
        <v>228</v>
      </c>
      <c r="D50" s="33" t="s">
        <v>304</v>
      </c>
      <c r="E50" s="33" t="s">
        <v>244</v>
      </c>
      <c r="F50" s="32" t="s">
        <v>383</v>
      </c>
      <c r="G50" s="33" t="s">
        <v>399</v>
      </c>
      <c r="H50" s="32"/>
      <c r="I50" s="34">
        <v>0</v>
      </c>
      <c r="J50" s="34">
        <v>5850000000</v>
      </c>
      <c r="K50" s="34">
        <v>0</v>
      </c>
      <c r="L50" s="34">
        <v>0</v>
      </c>
      <c r="M50" s="34">
        <v>0</v>
      </c>
      <c r="N50" s="34">
        <v>5850000000</v>
      </c>
      <c r="O50" s="34">
        <v>0</v>
      </c>
      <c r="P50" s="34">
        <v>0</v>
      </c>
      <c r="Q50" s="34">
        <v>0</v>
      </c>
      <c r="R50" s="34">
        <v>0</v>
      </c>
      <c r="S50" s="34">
        <v>0</v>
      </c>
      <c r="T50" s="34">
        <v>5850000000</v>
      </c>
      <c r="U50" s="35"/>
      <c r="V50" s="35"/>
      <c r="W50" s="17"/>
      <c r="X50" s="17" t="s">
        <v>716</v>
      </c>
      <c r="Y50" s="15"/>
      <c r="Z50" s="17"/>
      <c r="AA50" s="17" t="s">
        <v>716</v>
      </c>
      <c r="AB50" s="81"/>
      <c r="AC50" s="16" t="s">
        <v>716</v>
      </c>
      <c r="AD50" s="16" t="s">
        <v>848</v>
      </c>
      <c r="AE50" s="16" t="s">
        <v>855</v>
      </c>
      <c r="AF50" s="16" t="str">
        <f>_xlfn.CONCAT(EjecucionHaciendaDiciembre[[#This Row],[NOMBRE_RUBRO]]," - ",EjecucionHaciendaDiciembre[[#This Row],[NOMBRE_RECURSO]])</f>
        <v>Construcciones prefabricadas - 1.3.3.4.01-R.B. SOBRETASA FONDO DE SEGURIDAD</v>
      </c>
      <c r="AH50" s="1"/>
      <c r="AI50" s="1"/>
      <c r="AJ50" s="1"/>
      <c r="AK50" s="1"/>
      <c r="AL50" s="1"/>
      <c r="AM50" s="1"/>
    </row>
    <row r="51" spans="1:39" ht="14.4" x14ac:dyDescent="0.3">
      <c r="A51" s="14" t="s">
        <v>62</v>
      </c>
      <c r="B51" s="14" t="s">
        <v>183</v>
      </c>
      <c r="C51" s="15"/>
      <c r="D51" s="15"/>
      <c r="E51" s="15"/>
      <c r="F51" s="14"/>
      <c r="G51" s="15"/>
      <c r="H51" s="14"/>
      <c r="I51" s="16">
        <v>1154431989</v>
      </c>
      <c r="J51" s="16">
        <v>49499067640.629997</v>
      </c>
      <c r="K51" s="16">
        <v>0</v>
      </c>
      <c r="L51" s="16">
        <v>1180366962.0699999</v>
      </c>
      <c r="M51" s="16">
        <v>1096036624</v>
      </c>
      <c r="N51" s="16">
        <v>50737829967.699997</v>
      </c>
      <c r="O51" s="16">
        <v>49858015051.25</v>
      </c>
      <c r="P51" s="16">
        <v>49858015051.25</v>
      </c>
      <c r="Q51" s="16">
        <v>47559650492.160004</v>
      </c>
      <c r="R51" s="16">
        <v>12506747689.17</v>
      </c>
      <c r="S51" s="16">
        <v>12306591461.17</v>
      </c>
      <c r="T51" s="16">
        <v>879814916.45000005</v>
      </c>
      <c r="U51" s="17"/>
      <c r="V51" s="17"/>
      <c r="W51" s="17"/>
      <c r="X51" s="17" t="s">
        <v>716</v>
      </c>
      <c r="Y51" s="15"/>
      <c r="Z51" s="17"/>
      <c r="AA51" s="17" t="s">
        <v>716</v>
      </c>
      <c r="AB51" s="81"/>
      <c r="AC51" s="16" t="s">
        <v>716</v>
      </c>
      <c r="AD51" s="16" t="s">
        <v>716</v>
      </c>
      <c r="AE51" s="16" t="s">
        <v>716</v>
      </c>
      <c r="AF51" s="16" t="str">
        <f>_xlfn.CONCAT(EjecucionHaciendaDiciembre[[#This Row],[NOMBRE_RUBRO]]," - ",EjecucionHaciendaDiciembre[[#This Row],[NOMBRE_RECURSO]])</f>
        <v xml:space="preserve">Edificaciones distintas a viviendas - </v>
      </c>
      <c r="AH51" s="1"/>
      <c r="AI51" s="1"/>
      <c r="AJ51" s="1"/>
      <c r="AK51" s="1"/>
      <c r="AL51" s="1"/>
      <c r="AM51" s="1"/>
    </row>
    <row r="52" spans="1:39" ht="43.2" x14ac:dyDescent="0.3">
      <c r="A52" s="3" t="s">
        <v>63</v>
      </c>
      <c r="B52" s="3" t="s">
        <v>184</v>
      </c>
      <c r="C52" s="2" t="s">
        <v>215</v>
      </c>
      <c r="D52" s="2" t="s">
        <v>291</v>
      </c>
      <c r="E52" s="2" t="s">
        <v>19</v>
      </c>
      <c r="F52" s="3" t="s">
        <v>381</v>
      </c>
      <c r="G52" s="2" t="s">
        <v>402</v>
      </c>
      <c r="H52" s="3" t="s">
        <v>546</v>
      </c>
      <c r="I52" s="4">
        <v>0</v>
      </c>
      <c r="J52" s="4">
        <v>0</v>
      </c>
      <c r="K52" s="4">
        <v>0</v>
      </c>
      <c r="L52" s="4">
        <v>84330338.069999993</v>
      </c>
      <c r="M52" s="4">
        <v>0</v>
      </c>
      <c r="N52" s="4">
        <v>84330338.069999993</v>
      </c>
      <c r="O52" s="4">
        <v>84330338.069999993</v>
      </c>
      <c r="P52" s="4">
        <v>84330338.069999993</v>
      </c>
      <c r="Q52" s="4">
        <v>81800414</v>
      </c>
      <c r="R52" s="4">
        <v>81800414</v>
      </c>
      <c r="S52" s="4">
        <v>0</v>
      </c>
      <c r="T52" s="4">
        <v>0</v>
      </c>
      <c r="U52" s="23" t="s">
        <v>547</v>
      </c>
      <c r="V52" s="24">
        <v>220105200</v>
      </c>
      <c r="W52" s="17" t="s">
        <v>789</v>
      </c>
      <c r="X52" s="17" t="s">
        <v>748</v>
      </c>
      <c r="Y52" s="15" t="s">
        <v>779</v>
      </c>
      <c r="Z52" s="17">
        <v>2024</v>
      </c>
      <c r="AA52" s="17" t="s">
        <v>716</v>
      </c>
      <c r="AB52" s="81">
        <v>2024</v>
      </c>
      <c r="AC52" s="16" t="s">
        <v>716</v>
      </c>
      <c r="AD52" s="16" t="s">
        <v>849</v>
      </c>
      <c r="AE52" s="16" t="s">
        <v>857</v>
      </c>
      <c r="AF52" s="16" t="str">
        <f>_xlfn.CONCAT(EjecucionHaciendaDiciembre[[#This Row],[NOMBRE_RUBRO]]," - ",EjecucionHaciendaDiciembre[[#This Row],[NOMBRE_RECURSO]])</f>
        <v>Edificios educativos - 1.2.1.0.00 - INGRESOS CORRIENTES DE LIBRE DESTINACION</v>
      </c>
      <c r="AH52" s="1"/>
      <c r="AI52" s="1"/>
      <c r="AJ52" s="1"/>
      <c r="AK52" s="1"/>
      <c r="AL52" s="1"/>
      <c r="AM52" s="1"/>
    </row>
    <row r="53" spans="1:39" ht="43.2" x14ac:dyDescent="0.3">
      <c r="A53" s="36" t="s">
        <v>63</v>
      </c>
      <c r="B53" s="36" t="s">
        <v>184</v>
      </c>
      <c r="C53" s="37" t="s">
        <v>218</v>
      </c>
      <c r="D53" s="37" t="s">
        <v>294</v>
      </c>
      <c r="E53" s="37" t="s">
        <v>19</v>
      </c>
      <c r="F53" s="36" t="s">
        <v>381</v>
      </c>
      <c r="G53" s="37" t="s">
        <v>399</v>
      </c>
      <c r="H53" s="36"/>
      <c r="I53" s="38">
        <v>0</v>
      </c>
      <c r="J53" s="38">
        <v>147392566</v>
      </c>
      <c r="K53" s="38">
        <v>0</v>
      </c>
      <c r="L53" s="38">
        <v>0</v>
      </c>
      <c r="M53" s="38">
        <v>147392566</v>
      </c>
      <c r="N53" s="38">
        <v>0</v>
      </c>
      <c r="O53" s="38">
        <v>0</v>
      </c>
      <c r="P53" s="38">
        <v>0</v>
      </c>
      <c r="Q53" s="38">
        <v>0</v>
      </c>
      <c r="R53" s="38">
        <v>0</v>
      </c>
      <c r="S53" s="38">
        <v>0</v>
      </c>
      <c r="T53" s="38">
        <v>0</v>
      </c>
      <c r="U53" s="39"/>
      <c r="V53" s="84"/>
      <c r="W53" s="17"/>
      <c r="X53" s="17" t="s">
        <v>716</v>
      </c>
      <c r="Y53" s="15"/>
      <c r="Z53" s="17"/>
      <c r="AA53" s="17" t="s">
        <v>716</v>
      </c>
      <c r="AB53" s="81"/>
      <c r="AC53" s="16" t="s">
        <v>716</v>
      </c>
      <c r="AD53" s="16" t="s">
        <v>849</v>
      </c>
      <c r="AE53" s="16" t="s">
        <v>855</v>
      </c>
      <c r="AF53" s="16" t="str">
        <f>_xlfn.CONCAT(EjecucionHaciendaDiciembre[[#This Row],[NOMBRE_RUBRO]]," - ",EjecucionHaciendaDiciembre[[#This Row],[NOMBRE_RECURSO]])</f>
        <v>Edificios educativos - 1.3.3.1.00-RECURSOS DEL BALANCE DE LIBRE DESTINACION</v>
      </c>
      <c r="AH53" s="1"/>
      <c r="AI53" s="1"/>
      <c r="AJ53" s="1"/>
      <c r="AK53" s="1"/>
      <c r="AL53" s="1"/>
      <c r="AM53" s="1"/>
    </row>
    <row r="54" spans="1:39" ht="43.2" x14ac:dyDescent="0.3">
      <c r="A54" s="40" t="s">
        <v>63</v>
      </c>
      <c r="B54" s="40" t="s">
        <v>184</v>
      </c>
      <c r="C54" s="41" t="s">
        <v>218</v>
      </c>
      <c r="D54" s="41" t="s">
        <v>294</v>
      </c>
      <c r="E54" s="41" t="s">
        <v>19</v>
      </c>
      <c r="F54" s="40" t="s">
        <v>381</v>
      </c>
      <c r="G54" s="92">
        <v>2022002700134</v>
      </c>
      <c r="H54" s="40" t="s">
        <v>548</v>
      </c>
      <c r="I54" s="42">
        <v>0</v>
      </c>
      <c r="J54" s="42">
        <v>0</v>
      </c>
      <c r="K54" s="42">
        <v>0</v>
      </c>
      <c r="L54" s="42">
        <v>147392566</v>
      </c>
      <c r="M54" s="42">
        <v>0</v>
      </c>
      <c r="N54" s="42">
        <v>147392566</v>
      </c>
      <c r="O54" s="42">
        <v>147392566</v>
      </c>
      <c r="P54" s="43">
        <v>147392566</v>
      </c>
      <c r="Q54" s="42">
        <v>0</v>
      </c>
      <c r="R54" s="42">
        <v>0</v>
      </c>
      <c r="S54" s="42">
        <v>0</v>
      </c>
      <c r="T54" s="42">
        <v>0</v>
      </c>
      <c r="U54" s="44" t="s">
        <v>547</v>
      </c>
      <c r="V54" s="45">
        <v>220105200</v>
      </c>
      <c r="W54" s="17" t="s">
        <v>720</v>
      </c>
      <c r="X54" s="17" t="s">
        <v>749</v>
      </c>
      <c r="Y54" s="15" t="s">
        <v>781</v>
      </c>
      <c r="Z54" s="17">
        <v>2025</v>
      </c>
      <c r="AA54" s="17" t="s">
        <v>716</v>
      </c>
      <c r="AB54" s="81">
        <v>2025</v>
      </c>
      <c r="AC54" s="16" t="s">
        <v>716</v>
      </c>
      <c r="AD54" s="16" t="s">
        <v>849</v>
      </c>
      <c r="AE54" s="16" t="s">
        <v>858</v>
      </c>
      <c r="AF54" s="16" t="str">
        <f>_xlfn.CONCAT(EjecucionHaciendaDiciembre[[#This Row],[NOMBRE_RUBRO]]," - ",EjecucionHaciendaDiciembre[[#This Row],[NOMBRE_RECURSO]])</f>
        <v>Edificios educativos - 1.3.3.1.00-RECURSOS DEL BALANCE DE LIBRE DESTINACION</v>
      </c>
      <c r="AH54" s="1"/>
      <c r="AI54" s="1"/>
      <c r="AJ54" s="1"/>
      <c r="AK54" s="1"/>
      <c r="AL54" s="1"/>
      <c r="AM54" s="1"/>
    </row>
    <row r="55" spans="1:39" ht="43.2" x14ac:dyDescent="0.3">
      <c r="A55" s="32" t="s">
        <v>63</v>
      </c>
      <c r="B55" s="32" t="s">
        <v>184</v>
      </c>
      <c r="C55" s="33" t="s">
        <v>229</v>
      </c>
      <c r="D55" s="33" t="s">
        <v>305</v>
      </c>
      <c r="E55" s="33" t="s">
        <v>19</v>
      </c>
      <c r="F55" s="32" t="s">
        <v>381</v>
      </c>
      <c r="G55" s="33" t="s">
        <v>399</v>
      </c>
      <c r="H55" s="32"/>
      <c r="I55" s="34">
        <v>0</v>
      </c>
      <c r="J55" s="34">
        <v>329938508.39999998</v>
      </c>
      <c r="K55" s="34">
        <v>0</v>
      </c>
      <c r="L55" s="34">
        <v>0</v>
      </c>
      <c r="M55" s="34">
        <v>0</v>
      </c>
      <c r="N55" s="34">
        <v>329938508.39999998</v>
      </c>
      <c r="O55" s="34">
        <v>0</v>
      </c>
      <c r="P55" s="34">
        <v>0</v>
      </c>
      <c r="Q55" s="34">
        <v>0</v>
      </c>
      <c r="R55" s="34">
        <v>0</v>
      </c>
      <c r="S55" s="34">
        <v>0</v>
      </c>
      <c r="T55" s="34">
        <v>329938508.39999998</v>
      </c>
      <c r="U55" s="35"/>
      <c r="V55" s="85"/>
      <c r="W55" s="17"/>
      <c r="X55" s="17" t="s">
        <v>716</v>
      </c>
      <c r="Y55" s="15"/>
      <c r="Z55" s="17"/>
      <c r="AA55" s="17" t="s">
        <v>716</v>
      </c>
      <c r="AB55" s="81"/>
      <c r="AC55" s="16" t="s">
        <v>716</v>
      </c>
      <c r="AD55" s="16" t="s">
        <v>716</v>
      </c>
      <c r="AE55" s="16" t="s">
        <v>855</v>
      </c>
      <c r="AF55" s="16" t="str">
        <f>_xlfn.CONCAT(EjecucionHaciendaDiciembre[[#This Row],[NOMBRE_RUBRO]]," - ",EjecucionHaciendaDiciembre[[#This Row],[NOMBRE_RECURSO]])</f>
        <v>Edificios educativos - 1.3.2.2.01-R.F. SGP - EDUCACION-PRESTACION DE SERVICIO EDUCATIVO</v>
      </c>
      <c r="AH55" s="1"/>
      <c r="AI55" s="1"/>
      <c r="AJ55" s="1"/>
      <c r="AK55" s="1"/>
      <c r="AL55" s="1"/>
      <c r="AM55" s="1"/>
    </row>
    <row r="56" spans="1:39" ht="43.2" x14ac:dyDescent="0.3">
      <c r="A56" s="32" t="s">
        <v>63</v>
      </c>
      <c r="B56" s="32" t="s">
        <v>184</v>
      </c>
      <c r="C56" s="33" t="s">
        <v>230</v>
      </c>
      <c r="D56" s="33" t="s">
        <v>306</v>
      </c>
      <c r="E56" s="33" t="s">
        <v>19</v>
      </c>
      <c r="F56" s="32" t="s">
        <v>381</v>
      </c>
      <c r="G56" s="33" t="s">
        <v>399</v>
      </c>
      <c r="H56" s="32"/>
      <c r="I56" s="34">
        <v>0</v>
      </c>
      <c r="J56" s="34">
        <v>442249162</v>
      </c>
      <c r="K56" s="34">
        <v>0</v>
      </c>
      <c r="L56" s="34">
        <v>0</v>
      </c>
      <c r="M56" s="34">
        <v>0</v>
      </c>
      <c r="N56" s="34">
        <v>442249162</v>
      </c>
      <c r="O56" s="34">
        <v>0</v>
      </c>
      <c r="P56" s="34">
        <v>0</v>
      </c>
      <c r="Q56" s="34">
        <v>0</v>
      </c>
      <c r="R56" s="34">
        <v>0</v>
      </c>
      <c r="S56" s="34">
        <v>0</v>
      </c>
      <c r="T56" s="34">
        <v>442249162</v>
      </c>
      <c r="U56" s="35"/>
      <c r="V56" s="85"/>
      <c r="W56" s="17"/>
      <c r="X56" s="17" t="s">
        <v>716</v>
      </c>
      <c r="Y56" s="15"/>
      <c r="Z56" s="17"/>
      <c r="AA56" s="17" t="s">
        <v>716</v>
      </c>
      <c r="AB56" s="81"/>
      <c r="AC56" s="16" t="s">
        <v>716</v>
      </c>
      <c r="AD56" s="16" t="s">
        <v>847</v>
      </c>
      <c r="AE56" s="16" t="s">
        <v>855</v>
      </c>
      <c r="AF56" s="16" t="str">
        <f>_xlfn.CONCAT(EjecucionHaciendaDiciembre[[#This Row],[NOMBRE_RUBRO]]," - ",EjecucionHaciendaDiciembre[[#This Row],[NOMBRE_RECURSO]])</f>
        <v>Edificios educativos - 1.3.3.6.04- R.B. SGP-EDUCACION-CALIDAD  MATRICULA</v>
      </c>
      <c r="AH56" s="1"/>
      <c r="AI56" s="1"/>
      <c r="AJ56" s="1"/>
      <c r="AK56" s="1"/>
      <c r="AL56" s="1"/>
      <c r="AM56" s="1"/>
    </row>
    <row r="57" spans="1:39" ht="43.2" x14ac:dyDescent="0.3">
      <c r="A57" s="32" t="s">
        <v>63</v>
      </c>
      <c r="B57" s="32" t="s">
        <v>184</v>
      </c>
      <c r="C57" s="33" t="s">
        <v>231</v>
      </c>
      <c r="D57" s="33" t="s">
        <v>307</v>
      </c>
      <c r="E57" s="33" t="s">
        <v>19</v>
      </c>
      <c r="F57" s="32" t="s">
        <v>381</v>
      </c>
      <c r="G57" s="33" t="s">
        <v>399</v>
      </c>
      <c r="H57" s="32"/>
      <c r="I57" s="34">
        <v>553101460</v>
      </c>
      <c r="J57" s="34">
        <v>0</v>
      </c>
      <c r="K57" s="34">
        <v>0</v>
      </c>
      <c r="L57" s="34">
        <v>0</v>
      </c>
      <c r="M57" s="34">
        <v>477880148</v>
      </c>
      <c r="N57" s="34">
        <v>75221312</v>
      </c>
      <c r="O57" s="34">
        <v>0</v>
      </c>
      <c r="P57" s="34">
        <v>0</v>
      </c>
      <c r="Q57" s="34">
        <v>0</v>
      </c>
      <c r="R57" s="34">
        <v>0</v>
      </c>
      <c r="S57" s="34">
        <v>0</v>
      </c>
      <c r="T57" s="34">
        <v>75221312</v>
      </c>
      <c r="U57" s="35"/>
      <c r="V57" s="85"/>
      <c r="W57" s="17"/>
      <c r="X57" s="17" t="s">
        <v>716</v>
      </c>
      <c r="Y57" s="15"/>
      <c r="Z57" s="17"/>
      <c r="AA57" s="17" t="s">
        <v>716</v>
      </c>
      <c r="AB57" s="81"/>
      <c r="AC57" s="16" t="s">
        <v>716</v>
      </c>
      <c r="AD57" s="16" t="s">
        <v>848</v>
      </c>
      <c r="AE57" s="16" t="s">
        <v>855</v>
      </c>
      <c r="AF57" s="16" t="str">
        <f>_xlfn.CONCAT(EjecucionHaciendaDiciembre[[#This Row],[NOMBRE_RUBRO]]," - ",EjecucionHaciendaDiciembre[[#This Row],[NOMBRE_RECURSO]])</f>
        <v>Edificios educativos - 1.2.3.1.19 - ESTAMPILLAS PRO DESARROLLO INFRA-EDUCATIVA</v>
      </c>
      <c r="AH57" s="1"/>
      <c r="AI57" s="1"/>
      <c r="AJ57" s="1"/>
      <c r="AK57" s="1"/>
      <c r="AL57" s="1"/>
      <c r="AM57" s="1"/>
    </row>
    <row r="58" spans="1:39" ht="43.2" x14ac:dyDescent="0.3">
      <c r="A58" s="3" t="s">
        <v>63</v>
      </c>
      <c r="B58" s="3" t="s">
        <v>184</v>
      </c>
      <c r="C58" s="2" t="s">
        <v>231</v>
      </c>
      <c r="D58" s="2" t="s">
        <v>307</v>
      </c>
      <c r="E58" s="2" t="s">
        <v>19</v>
      </c>
      <c r="F58" s="3" t="s">
        <v>381</v>
      </c>
      <c r="G58" s="2" t="s">
        <v>404</v>
      </c>
      <c r="H58" s="3" t="s">
        <v>549</v>
      </c>
      <c r="I58" s="4">
        <v>601330529</v>
      </c>
      <c r="J58" s="4">
        <v>0</v>
      </c>
      <c r="K58" s="4">
        <v>0</v>
      </c>
      <c r="L58" s="4">
        <v>0</v>
      </c>
      <c r="M58" s="4">
        <v>0</v>
      </c>
      <c r="N58" s="4">
        <v>601330529</v>
      </c>
      <c r="O58" s="4">
        <v>601330529</v>
      </c>
      <c r="P58" s="4">
        <v>601330529</v>
      </c>
      <c r="Q58" s="4">
        <v>579377168</v>
      </c>
      <c r="R58" s="4">
        <v>526031203</v>
      </c>
      <c r="S58" s="4">
        <v>526031203</v>
      </c>
      <c r="T58" s="4">
        <v>0</v>
      </c>
      <c r="U58" s="23" t="s">
        <v>547</v>
      </c>
      <c r="V58" s="31">
        <v>220105200</v>
      </c>
      <c r="W58" s="17" t="s">
        <v>789</v>
      </c>
      <c r="X58" s="17" t="s">
        <v>748</v>
      </c>
      <c r="Y58" s="15" t="s">
        <v>779</v>
      </c>
      <c r="Z58" s="17">
        <v>2024</v>
      </c>
      <c r="AA58" s="17" t="s">
        <v>716</v>
      </c>
      <c r="AB58" s="81">
        <v>2024</v>
      </c>
      <c r="AC58" s="16" t="s">
        <v>716</v>
      </c>
      <c r="AD58" s="16" t="s">
        <v>848</v>
      </c>
      <c r="AE58" s="16" t="s">
        <v>859</v>
      </c>
      <c r="AF58" s="16" t="str">
        <f>_xlfn.CONCAT(EjecucionHaciendaDiciembre[[#This Row],[NOMBRE_RUBRO]]," - ",EjecucionHaciendaDiciembre[[#This Row],[NOMBRE_RECURSO]])</f>
        <v>Edificios educativos - 1.2.3.1.19 - ESTAMPILLAS PRO DESARROLLO INFRA-EDUCATIVA</v>
      </c>
      <c r="AH58" s="1"/>
      <c r="AI58" s="1"/>
      <c r="AJ58" s="1"/>
      <c r="AK58" s="1"/>
      <c r="AL58" s="1"/>
      <c r="AM58" s="1"/>
    </row>
    <row r="59" spans="1:39" ht="43.2" x14ac:dyDescent="0.3">
      <c r="A59" s="3" t="s">
        <v>63</v>
      </c>
      <c r="B59" s="3" t="s">
        <v>184</v>
      </c>
      <c r="C59" s="2" t="s">
        <v>231</v>
      </c>
      <c r="D59" s="2" t="s">
        <v>307</v>
      </c>
      <c r="E59" s="2" t="s">
        <v>19</v>
      </c>
      <c r="F59" s="3" t="s">
        <v>381</v>
      </c>
      <c r="G59" s="2" t="s">
        <v>405</v>
      </c>
      <c r="H59" s="3" t="s">
        <v>550</v>
      </c>
      <c r="I59" s="4">
        <v>0</v>
      </c>
      <c r="J59" s="4">
        <v>0</v>
      </c>
      <c r="K59" s="4">
        <v>0</v>
      </c>
      <c r="L59" s="4">
        <v>477880148</v>
      </c>
      <c r="M59" s="4">
        <v>0</v>
      </c>
      <c r="N59" s="4">
        <v>477880148</v>
      </c>
      <c r="O59" s="4">
        <v>477880148</v>
      </c>
      <c r="P59" s="4">
        <v>477880148</v>
      </c>
      <c r="Q59" s="4">
        <v>429653709</v>
      </c>
      <c r="R59" s="4">
        <v>0</v>
      </c>
      <c r="S59" s="4">
        <v>0</v>
      </c>
      <c r="T59" s="4">
        <v>0</v>
      </c>
      <c r="U59" s="23" t="s">
        <v>547</v>
      </c>
      <c r="V59" s="31">
        <v>220105200</v>
      </c>
      <c r="W59" s="17" t="s">
        <v>720</v>
      </c>
      <c r="X59" s="17" t="s">
        <v>749</v>
      </c>
      <c r="Y59" s="15" t="s">
        <v>781</v>
      </c>
      <c r="Z59" s="17">
        <v>2025</v>
      </c>
      <c r="AA59" s="17" t="s">
        <v>716</v>
      </c>
      <c r="AB59" s="81">
        <v>2025</v>
      </c>
      <c r="AC59" s="16" t="s">
        <v>716</v>
      </c>
      <c r="AD59" s="16" t="s">
        <v>848</v>
      </c>
      <c r="AE59" s="16" t="s">
        <v>860</v>
      </c>
      <c r="AF59" s="16" t="str">
        <f>_xlfn.CONCAT(EjecucionHaciendaDiciembre[[#This Row],[NOMBRE_RUBRO]]," - ",EjecucionHaciendaDiciembre[[#This Row],[NOMBRE_RECURSO]])</f>
        <v>Edificios educativos - 1.2.3.1.19 - ESTAMPILLAS PRO DESARROLLO INFRA-EDUCATIVA</v>
      </c>
      <c r="AH59" s="1"/>
      <c r="AI59" s="1"/>
      <c r="AJ59" s="1"/>
      <c r="AK59" s="1"/>
      <c r="AL59" s="1"/>
      <c r="AM59" s="1"/>
    </row>
    <row r="60" spans="1:39" ht="43.2" x14ac:dyDescent="0.3">
      <c r="A60" s="40" t="s">
        <v>63</v>
      </c>
      <c r="B60" s="40" t="s">
        <v>184</v>
      </c>
      <c r="C60" s="41" t="s">
        <v>232</v>
      </c>
      <c r="D60" s="41" t="s">
        <v>308</v>
      </c>
      <c r="E60" s="41" t="s">
        <v>19</v>
      </c>
      <c r="F60" s="40" t="s">
        <v>381</v>
      </c>
      <c r="G60" s="41" t="s">
        <v>403</v>
      </c>
      <c r="H60" s="40" t="s">
        <v>548</v>
      </c>
      <c r="I60" s="42">
        <v>0</v>
      </c>
      <c r="J60" s="42">
        <v>2014859012</v>
      </c>
      <c r="K60" s="42">
        <v>0</v>
      </c>
      <c r="L60" s="42">
        <v>0</v>
      </c>
      <c r="M60" s="42">
        <v>0</v>
      </c>
      <c r="N60" s="42">
        <v>2014859012</v>
      </c>
      <c r="O60" s="42">
        <v>2014859012</v>
      </c>
      <c r="P60" s="43">
        <v>2014859012</v>
      </c>
      <c r="Q60" s="42">
        <v>0</v>
      </c>
      <c r="R60" s="42">
        <v>0</v>
      </c>
      <c r="S60" s="42">
        <v>0</v>
      </c>
      <c r="T60" s="42">
        <v>0</v>
      </c>
      <c r="U60" s="44" t="s">
        <v>547</v>
      </c>
      <c r="V60" s="45">
        <v>220105200</v>
      </c>
      <c r="W60" s="17" t="s">
        <v>720</v>
      </c>
      <c r="X60" s="17" t="s">
        <v>749</v>
      </c>
      <c r="Y60" s="15" t="s">
        <v>781</v>
      </c>
      <c r="Z60" s="17">
        <v>2025</v>
      </c>
      <c r="AA60" s="17" t="s">
        <v>716</v>
      </c>
      <c r="AB60" s="81">
        <v>2025</v>
      </c>
      <c r="AC60" s="16" t="s">
        <v>716</v>
      </c>
      <c r="AD60" s="16" t="s">
        <v>848</v>
      </c>
      <c r="AE60" s="16" t="s">
        <v>858</v>
      </c>
      <c r="AF60" s="16" t="str">
        <f>_xlfn.CONCAT(EjecucionHaciendaDiciembre[[#This Row],[NOMBRE_RUBRO]]," - ",EjecucionHaciendaDiciembre[[#This Row],[NOMBRE_RECURSO]])</f>
        <v>Edificios educativos - 1.3.3.5.03-R.B. NACION RETIROS FONPET</v>
      </c>
      <c r="AH60" s="1"/>
      <c r="AI60" s="1"/>
      <c r="AJ60" s="1"/>
      <c r="AK60" s="1"/>
      <c r="AL60" s="1"/>
      <c r="AM60" s="1"/>
    </row>
    <row r="61" spans="1:39" ht="46.2" customHeight="1" x14ac:dyDescent="0.3">
      <c r="A61" s="3" t="s">
        <v>64</v>
      </c>
      <c r="B61" s="3" t="s">
        <v>185</v>
      </c>
      <c r="C61" s="2" t="s">
        <v>233</v>
      </c>
      <c r="D61" s="2" t="s">
        <v>309</v>
      </c>
      <c r="E61" s="2" t="s">
        <v>370</v>
      </c>
      <c r="F61" s="3" t="s">
        <v>384</v>
      </c>
      <c r="G61" s="2" t="s">
        <v>406</v>
      </c>
      <c r="H61" s="3" t="s">
        <v>634</v>
      </c>
      <c r="I61" s="4">
        <v>0</v>
      </c>
      <c r="J61" s="4">
        <v>38541852809.730003</v>
      </c>
      <c r="K61" s="4">
        <v>0</v>
      </c>
      <c r="L61" s="4">
        <v>0</v>
      </c>
      <c r="M61" s="4">
        <v>0</v>
      </c>
      <c r="N61" s="4">
        <v>38541852809.730003</v>
      </c>
      <c r="O61" s="4">
        <v>38541852809.730003</v>
      </c>
      <c r="P61" s="4">
        <v>38541852809.730003</v>
      </c>
      <c r="Q61" s="4">
        <v>38511610617</v>
      </c>
      <c r="R61" s="4">
        <v>10353420827.82</v>
      </c>
      <c r="S61" s="4">
        <v>10353420827.82</v>
      </c>
      <c r="T61" s="4">
        <v>0</v>
      </c>
      <c r="U61" s="23" t="s">
        <v>635</v>
      </c>
      <c r="V61" s="31">
        <v>190603000</v>
      </c>
      <c r="W61" s="17"/>
      <c r="X61" s="17" t="s">
        <v>748</v>
      </c>
      <c r="Y61" s="15" t="s">
        <v>782</v>
      </c>
      <c r="Z61" s="17">
        <v>2027</v>
      </c>
      <c r="AA61" s="17" t="s">
        <v>716</v>
      </c>
      <c r="AB61" s="81">
        <v>2027</v>
      </c>
      <c r="AC61" s="16" t="s">
        <v>716</v>
      </c>
      <c r="AD61" s="16" t="s">
        <v>848</v>
      </c>
      <c r="AE61" s="16" t="s">
        <v>861</v>
      </c>
      <c r="AF61" s="16" t="str">
        <f>_xlfn.CONCAT(EjecucionHaciendaDiciembre[[#This Row],[NOMBRE_RUBRO]]," - ",EjecucionHaciendaDiciembre[[#This Row],[NOMBRE_RECURSO]])</f>
        <v>Edificios relacionados con salud - 1.2.3.3.03 - APORTES NACION</v>
      </c>
      <c r="AH61" s="1"/>
      <c r="AI61" s="1"/>
      <c r="AJ61" s="1"/>
      <c r="AK61" s="1"/>
      <c r="AL61" s="1"/>
      <c r="AM61" s="1"/>
    </row>
    <row r="62" spans="1:39" ht="46.2" customHeight="1" x14ac:dyDescent="0.3">
      <c r="A62" s="3" t="s">
        <v>65</v>
      </c>
      <c r="B62" s="3" t="s">
        <v>186</v>
      </c>
      <c r="C62" s="2" t="s">
        <v>233</v>
      </c>
      <c r="D62" s="2" t="s">
        <v>309</v>
      </c>
      <c r="E62" s="2" t="s">
        <v>370</v>
      </c>
      <c r="F62" s="3" t="s">
        <v>384</v>
      </c>
      <c r="G62" s="2" t="s">
        <v>407</v>
      </c>
      <c r="H62" s="3" t="s">
        <v>636</v>
      </c>
      <c r="I62" s="4">
        <v>0</v>
      </c>
      <c r="J62" s="4">
        <v>7552011672.5</v>
      </c>
      <c r="K62" s="4">
        <v>0</v>
      </c>
      <c r="L62" s="4">
        <v>0</v>
      </c>
      <c r="M62" s="4">
        <v>0</v>
      </c>
      <c r="N62" s="4">
        <v>7552011672.5</v>
      </c>
      <c r="O62" s="4">
        <v>7522011672.5</v>
      </c>
      <c r="P62" s="4">
        <v>7522011672.5</v>
      </c>
      <c r="Q62" s="4">
        <v>7520763835</v>
      </c>
      <c r="R62" s="4">
        <v>1109050495.3499999</v>
      </c>
      <c r="S62" s="4">
        <v>1109050495.3499999</v>
      </c>
      <c r="T62" s="4">
        <v>30000000</v>
      </c>
      <c r="U62" s="23" t="s">
        <v>637</v>
      </c>
      <c r="V62" s="24">
        <v>450301500</v>
      </c>
      <c r="W62" s="17" t="s">
        <v>640</v>
      </c>
      <c r="X62" s="17" t="s">
        <v>748</v>
      </c>
      <c r="Y62" s="15" t="s">
        <v>781</v>
      </c>
      <c r="Z62" s="17">
        <v>2025</v>
      </c>
      <c r="AA62" s="17" t="s">
        <v>716</v>
      </c>
      <c r="AB62" s="81">
        <v>2025</v>
      </c>
      <c r="AC62" s="16" t="s">
        <v>716</v>
      </c>
      <c r="AD62" s="16" t="s">
        <v>848</v>
      </c>
      <c r="AE62" s="16" t="s">
        <v>862</v>
      </c>
      <c r="AF62" s="16" t="str">
        <f>_xlfn.CONCAT(EjecucionHaciendaDiciembre[[#This Row],[NOMBRE_RUBRO]]," - ",EjecucionHaciendaDiciembre[[#This Row],[NOMBRE_RECURSO]])</f>
        <v>Otros edificios no residenciales - 1.2.3.3.03 - APORTES NACION</v>
      </c>
      <c r="AH62" s="1"/>
      <c r="AI62" s="1"/>
      <c r="AJ62" s="1"/>
      <c r="AK62" s="1"/>
      <c r="AL62" s="1"/>
      <c r="AM62" s="1"/>
    </row>
    <row r="63" spans="1:39" ht="43.2" x14ac:dyDescent="0.3">
      <c r="A63" s="36" t="s">
        <v>65</v>
      </c>
      <c r="B63" s="36" t="s">
        <v>186</v>
      </c>
      <c r="C63" s="37" t="s">
        <v>218</v>
      </c>
      <c r="D63" s="37" t="s">
        <v>294</v>
      </c>
      <c r="E63" s="37" t="s">
        <v>370</v>
      </c>
      <c r="F63" s="36" t="s">
        <v>384</v>
      </c>
      <c r="G63" s="37" t="s">
        <v>399</v>
      </c>
      <c r="H63" s="36"/>
      <c r="I63" s="38">
        <v>0</v>
      </c>
      <c r="J63" s="38">
        <v>470763910</v>
      </c>
      <c r="K63" s="38">
        <v>0</v>
      </c>
      <c r="L63" s="38">
        <v>0</v>
      </c>
      <c r="M63" s="38">
        <v>470763910</v>
      </c>
      <c r="N63" s="38">
        <v>0</v>
      </c>
      <c r="O63" s="38">
        <v>0</v>
      </c>
      <c r="P63" s="38">
        <v>0</v>
      </c>
      <c r="Q63" s="38">
        <v>0</v>
      </c>
      <c r="R63" s="38">
        <v>0</v>
      </c>
      <c r="S63" s="38">
        <v>0</v>
      </c>
      <c r="T63" s="38">
        <v>0</v>
      </c>
      <c r="U63" s="39"/>
      <c r="V63" s="84"/>
      <c r="W63" s="17"/>
      <c r="X63" s="17" t="s">
        <v>716</v>
      </c>
      <c r="Y63" s="15"/>
      <c r="Z63" s="17"/>
      <c r="AA63" s="17" t="s">
        <v>716</v>
      </c>
      <c r="AB63" s="81"/>
      <c r="AC63" s="16" t="s">
        <v>716</v>
      </c>
      <c r="AD63" s="16" t="s">
        <v>849</v>
      </c>
      <c r="AE63" s="16" t="s">
        <v>855</v>
      </c>
      <c r="AF63" s="16" t="str">
        <f>_xlfn.CONCAT(EjecucionHaciendaDiciembre[[#This Row],[NOMBRE_RUBRO]]," - ",EjecucionHaciendaDiciembre[[#This Row],[NOMBRE_RECURSO]])</f>
        <v>Otros edificios no residenciales - 1.3.3.1.00-RECURSOS DEL BALANCE DE LIBRE DESTINACION</v>
      </c>
      <c r="AH63" s="1"/>
      <c r="AI63" s="1"/>
      <c r="AJ63" s="1"/>
      <c r="AK63" s="1"/>
      <c r="AL63" s="1"/>
      <c r="AM63" s="1"/>
    </row>
    <row r="64" spans="1:39" ht="64.2" customHeight="1" x14ac:dyDescent="0.3">
      <c r="A64" s="3" t="s">
        <v>65</v>
      </c>
      <c r="B64" s="3" t="s">
        <v>186</v>
      </c>
      <c r="C64" s="2" t="s">
        <v>218</v>
      </c>
      <c r="D64" s="2" t="s">
        <v>294</v>
      </c>
      <c r="E64" s="2" t="s">
        <v>370</v>
      </c>
      <c r="F64" s="3" t="s">
        <v>384</v>
      </c>
      <c r="G64" s="2" t="s">
        <v>408</v>
      </c>
      <c r="H64" s="3" t="s">
        <v>638</v>
      </c>
      <c r="I64" s="4">
        <v>0</v>
      </c>
      <c r="J64" s="4">
        <v>0</v>
      </c>
      <c r="K64" s="4">
        <v>0</v>
      </c>
      <c r="L64" s="4">
        <v>120763910</v>
      </c>
      <c r="M64" s="4">
        <v>0</v>
      </c>
      <c r="N64" s="4">
        <v>120763910</v>
      </c>
      <c r="O64" s="4">
        <v>118357975.95</v>
      </c>
      <c r="P64" s="4">
        <v>118357975.95</v>
      </c>
      <c r="Q64" s="4">
        <v>118355814.16</v>
      </c>
      <c r="R64" s="4">
        <v>118355814</v>
      </c>
      <c r="S64" s="4">
        <v>0</v>
      </c>
      <c r="T64" s="4">
        <v>2405934.0499999998</v>
      </c>
      <c r="U64" s="23" t="s">
        <v>639</v>
      </c>
      <c r="V64" s="31">
        <v>459901100</v>
      </c>
      <c r="W64" s="17"/>
      <c r="X64" s="17" t="s">
        <v>750</v>
      </c>
      <c r="Y64" s="15" t="s">
        <v>781</v>
      </c>
      <c r="Z64" s="17">
        <v>2025</v>
      </c>
      <c r="AA64" s="17" t="s">
        <v>716</v>
      </c>
      <c r="AB64" s="81">
        <v>2025</v>
      </c>
      <c r="AC64" s="16" t="s">
        <v>716</v>
      </c>
      <c r="AD64" s="16" t="s">
        <v>849</v>
      </c>
      <c r="AE64" s="16" t="s">
        <v>856</v>
      </c>
      <c r="AF64" s="16" t="str">
        <f>_xlfn.CONCAT(EjecucionHaciendaDiciembre[[#This Row],[NOMBRE_RUBRO]]," - ",EjecucionHaciendaDiciembre[[#This Row],[NOMBRE_RECURSO]])</f>
        <v>Otros edificios no residenciales - 1.3.3.1.00-RECURSOS DEL BALANCE DE LIBRE DESTINACION</v>
      </c>
      <c r="AH64" s="1"/>
      <c r="AI64" s="1"/>
      <c r="AJ64" s="1"/>
      <c r="AK64" s="1"/>
      <c r="AL64" s="1"/>
      <c r="AM64" s="1"/>
    </row>
    <row r="65" spans="1:39" ht="51.6" customHeight="1" x14ac:dyDescent="0.3">
      <c r="A65" s="3" t="s">
        <v>65</v>
      </c>
      <c r="B65" s="3" t="s">
        <v>186</v>
      </c>
      <c r="C65" s="2" t="s">
        <v>218</v>
      </c>
      <c r="D65" s="2" t="s">
        <v>294</v>
      </c>
      <c r="E65" s="2" t="s">
        <v>370</v>
      </c>
      <c r="F65" s="3" t="s">
        <v>384</v>
      </c>
      <c r="G65" s="2" t="s">
        <v>409</v>
      </c>
      <c r="H65" s="3" t="s">
        <v>641</v>
      </c>
      <c r="I65" s="4">
        <v>0</v>
      </c>
      <c r="J65" s="4">
        <v>0</v>
      </c>
      <c r="K65" s="4">
        <v>0</v>
      </c>
      <c r="L65" s="4">
        <v>350000000</v>
      </c>
      <c r="M65" s="4">
        <v>0</v>
      </c>
      <c r="N65" s="4">
        <v>350000000</v>
      </c>
      <c r="O65" s="4">
        <v>350000000</v>
      </c>
      <c r="P65" s="4">
        <v>350000000</v>
      </c>
      <c r="Q65" s="4">
        <v>318088935</v>
      </c>
      <c r="R65" s="4">
        <v>318088935</v>
      </c>
      <c r="S65" s="4">
        <v>318088935</v>
      </c>
      <c r="T65" s="4">
        <v>0</v>
      </c>
      <c r="U65" s="23" t="s">
        <v>842</v>
      </c>
      <c r="V65" s="31">
        <v>459903400</v>
      </c>
      <c r="W65" s="17" t="s">
        <v>830</v>
      </c>
      <c r="X65" s="17" t="s">
        <v>748</v>
      </c>
      <c r="Y65" s="15" t="s">
        <v>779</v>
      </c>
      <c r="Z65" s="75">
        <v>2024</v>
      </c>
      <c r="AA65" s="17" t="s">
        <v>716</v>
      </c>
      <c r="AB65" s="81">
        <v>2024</v>
      </c>
      <c r="AC65" s="16" t="s">
        <v>716</v>
      </c>
      <c r="AD65" s="16" t="s">
        <v>849</v>
      </c>
      <c r="AE65" s="16" t="s">
        <v>856</v>
      </c>
      <c r="AF65" s="16" t="str">
        <f>_xlfn.CONCAT(EjecucionHaciendaDiciembre[[#This Row],[NOMBRE_RUBRO]]," - ",EjecucionHaciendaDiciembre[[#This Row],[NOMBRE_RECURSO]])</f>
        <v>Otros edificios no residenciales - 1.3.3.1.00-RECURSOS DEL BALANCE DE LIBRE DESTINACION</v>
      </c>
      <c r="AH65" s="1"/>
      <c r="AI65" s="1"/>
      <c r="AJ65" s="1"/>
      <c r="AK65" s="1"/>
      <c r="AL65" s="1"/>
      <c r="AM65" s="1"/>
    </row>
    <row r="66" spans="1:39" ht="14.4" x14ac:dyDescent="0.3">
      <c r="A66" s="14" t="s">
        <v>66</v>
      </c>
      <c r="B66" s="14" t="s">
        <v>187</v>
      </c>
      <c r="C66" s="15"/>
      <c r="D66" s="15"/>
      <c r="E66" s="15"/>
      <c r="F66" s="14"/>
      <c r="G66" s="15"/>
      <c r="H66" s="14"/>
      <c r="I66" s="16">
        <v>4183534206</v>
      </c>
      <c r="J66" s="16">
        <v>170922546975.70001</v>
      </c>
      <c r="K66" s="16">
        <v>0</v>
      </c>
      <c r="L66" s="16">
        <v>2635385660.8400002</v>
      </c>
      <c r="M66" s="16">
        <v>1741936910.23</v>
      </c>
      <c r="N66" s="16">
        <v>175999529932.31</v>
      </c>
      <c r="O66" s="16">
        <v>141034677604.60999</v>
      </c>
      <c r="P66" s="16">
        <v>141034677604.60999</v>
      </c>
      <c r="Q66" s="16">
        <v>135126927388.3</v>
      </c>
      <c r="R66" s="16">
        <v>12101996394.84</v>
      </c>
      <c r="S66" s="16">
        <v>12033400144.34</v>
      </c>
      <c r="T66" s="16">
        <v>34964852327.699997</v>
      </c>
      <c r="U66" s="17"/>
      <c r="V66" s="86"/>
      <c r="W66" s="17"/>
      <c r="X66" s="17" t="s">
        <v>716</v>
      </c>
      <c r="Y66" s="15"/>
      <c r="Z66" s="17"/>
      <c r="AA66" s="17" t="s">
        <v>716</v>
      </c>
      <c r="AB66" s="81"/>
      <c r="AC66" s="16" t="s">
        <v>716</v>
      </c>
      <c r="AD66" s="16" t="s">
        <v>716</v>
      </c>
      <c r="AE66" s="16" t="s">
        <v>716</v>
      </c>
      <c r="AF66" s="16" t="str">
        <f>_xlfn.CONCAT(EjecucionHaciendaDiciembre[[#This Row],[NOMBRE_RUBRO]]," - ",EjecucionHaciendaDiciembre[[#This Row],[NOMBRE_RECURSO]])</f>
        <v xml:space="preserve">Otras estructuras - </v>
      </c>
      <c r="AH66" s="1"/>
      <c r="AI66" s="1"/>
      <c r="AJ66" s="1"/>
      <c r="AK66" s="1"/>
      <c r="AL66" s="1"/>
      <c r="AM66" s="1"/>
    </row>
    <row r="67" spans="1:39" ht="67.5" customHeight="1" x14ac:dyDescent="0.3">
      <c r="A67" s="3" t="s">
        <v>67</v>
      </c>
      <c r="B67" s="3" t="s">
        <v>188</v>
      </c>
      <c r="C67" s="2" t="s">
        <v>234</v>
      </c>
      <c r="D67" s="2" t="s">
        <v>310</v>
      </c>
      <c r="E67" s="2" t="s">
        <v>370</v>
      </c>
      <c r="F67" s="3" t="s">
        <v>384</v>
      </c>
      <c r="G67" s="2" t="s">
        <v>410</v>
      </c>
      <c r="H67" s="3" t="s">
        <v>642</v>
      </c>
      <c r="I67" s="4">
        <v>0</v>
      </c>
      <c r="J67" s="4">
        <v>3066062200</v>
      </c>
      <c r="K67" s="4">
        <v>0</v>
      </c>
      <c r="L67" s="4">
        <v>0</v>
      </c>
      <c r="M67" s="4">
        <v>0</v>
      </c>
      <c r="N67" s="4">
        <v>3066062200</v>
      </c>
      <c r="O67" s="4">
        <v>3066062200</v>
      </c>
      <c r="P67" s="4">
        <v>3066062200</v>
      </c>
      <c r="Q67" s="4">
        <v>3066062200</v>
      </c>
      <c r="R67" s="4">
        <v>453301875.44</v>
      </c>
      <c r="S67" s="4">
        <v>453301875.44</v>
      </c>
      <c r="T67" s="4">
        <v>0</v>
      </c>
      <c r="U67" s="23" t="s">
        <v>643</v>
      </c>
      <c r="V67" s="31">
        <v>240211200</v>
      </c>
      <c r="W67" s="17"/>
      <c r="X67" s="17" t="s">
        <v>748</v>
      </c>
      <c r="Y67" s="15" t="s">
        <v>779</v>
      </c>
      <c r="Z67" s="17">
        <v>2024</v>
      </c>
      <c r="AA67" s="17" t="s">
        <v>716</v>
      </c>
      <c r="AB67" s="81">
        <v>2024</v>
      </c>
      <c r="AC67" s="16" t="s">
        <v>716</v>
      </c>
      <c r="AD67" s="16" t="s">
        <v>10</v>
      </c>
      <c r="AE67" s="16" t="s">
        <v>855</v>
      </c>
      <c r="AF67" s="16" t="str">
        <f>_xlfn.CONCAT(EjecucionHaciendaDiciembre[[#This Row],[NOMBRE_RUBRO]]," - ",EjecucionHaciendaDiciembre[[#This Row],[NOMBRE_RECURSO]])</f>
        <v>Autopistas, carreteras, calles - 1.3.1.1.05 - RECURSOS DE CREDITO INTERNO</v>
      </c>
      <c r="AH67" s="1"/>
      <c r="AI67" s="1"/>
      <c r="AJ67" s="1"/>
      <c r="AK67" s="1"/>
      <c r="AL67" s="1"/>
      <c r="AM67" s="1"/>
    </row>
    <row r="68" spans="1:39" ht="67.5" customHeight="1" x14ac:dyDescent="0.3">
      <c r="A68" s="3" t="s">
        <v>67</v>
      </c>
      <c r="B68" s="3" t="s">
        <v>188</v>
      </c>
      <c r="C68" s="2" t="s">
        <v>234</v>
      </c>
      <c r="D68" s="2" t="s">
        <v>310</v>
      </c>
      <c r="E68" s="2" t="s">
        <v>370</v>
      </c>
      <c r="F68" s="3" t="s">
        <v>384</v>
      </c>
      <c r="G68" s="2" t="s">
        <v>411</v>
      </c>
      <c r="H68" s="3" t="s">
        <v>644</v>
      </c>
      <c r="I68" s="4">
        <v>0</v>
      </c>
      <c r="J68" s="4">
        <v>2887511798</v>
      </c>
      <c r="K68" s="4">
        <v>0</v>
      </c>
      <c r="L68" s="4">
        <v>0</v>
      </c>
      <c r="M68" s="4">
        <v>0</v>
      </c>
      <c r="N68" s="4">
        <v>2887511798</v>
      </c>
      <c r="O68" s="4">
        <v>2887511797</v>
      </c>
      <c r="P68" s="4">
        <v>2887511797</v>
      </c>
      <c r="Q68" s="4">
        <v>2866511797.4000001</v>
      </c>
      <c r="R68" s="4">
        <v>83455491.25</v>
      </c>
      <c r="S68" s="4">
        <v>83455491.25</v>
      </c>
      <c r="T68" s="4">
        <v>1</v>
      </c>
      <c r="U68" s="23" t="s">
        <v>645</v>
      </c>
      <c r="V68" s="31">
        <v>240211400</v>
      </c>
      <c r="W68" s="17"/>
      <c r="X68" s="17" t="s">
        <v>748</v>
      </c>
      <c r="Y68" s="15" t="s">
        <v>780</v>
      </c>
      <c r="Z68" s="17" t="s">
        <v>780</v>
      </c>
      <c r="AA68" s="17" t="s">
        <v>716</v>
      </c>
      <c r="AB68" s="81" t="s">
        <v>780</v>
      </c>
      <c r="AC68" s="16" t="s">
        <v>716</v>
      </c>
      <c r="AD68" s="16" t="s">
        <v>10</v>
      </c>
      <c r="AE68" s="16" t="s">
        <v>863</v>
      </c>
      <c r="AF68" s="16" t="str">
        <f>_xlfn.CONCAT(EjecucionHaciendaDiciembre[[#This Row],[NOMBRE_RUBRO]]," - ",EjecucionHaciendaDiciembre[[#This Row],[NOMBRE_RECURSO]])</f>
        <v>Autopistas, carreteras, calles - 1.3.1.1.05 - RECURSOS DE CREDITO INTERNO</v>
      </c>
      <c r="AH68" s="1"/>
      <c r="AI68" s="1"/>
      <c r="AJ68" s="1"/>
      <c r="AK68" s="1"/>
      <c r="AL68" s="1"/>
      <c r="AM68" s="1"/>
    </row>
    <row r="69" spans="1:39" ht="43.2" x14ac:dyDescent="0.3">
      <c r="A69" s="3" t="s">
        <v>67</v>
      </c>
      <c r="B69" s="3" t="s">
        <v>188</v>
      </c>
      <c r="C69" s="2" t="s">
        <v>233</v>
      </c>
      <c r="D69" s="2" t="s">
        <v>309</v>
      </c>
      <c r="E69" s="2" t="s">
        <v>370</v>
      </c>
      <c r="F69" s="3" t="s">
        <v>384</v>
      </c>
      <c r="G69" s="2" t="s">
        <v>399</v>
      </c>
      <c r="H69" s="3"/>
      <c r="I69" s="4">
        <v>0</v>
      </c>
      <c r="J69" s="4">
        <v>152524369039</v>
      </c>
      <c r="K69" s="4">
        <v>0</v>
      </c>
      <c r="L69" s="4">
        <v>0</v>
      </c>
      <c r="M69" s="4">
        <v>0</v>
      </c>
      <c r="N69" s="4">
        <v>152524369039</v>
      </c>
      <c r="O69" s="4">
        <v>119011195724.08</v>
      </c>
      <c r="P69" s="4">
        <v>119011195724.08</v>
      </c>
      <c r="Q69" s="4">
        <v>114801246996.08</v>
      </c>
      <c r="R69" s="4">
        <v>8927403607.7999992</v>
      </c>
      <c r="S69" s="4">
        <v>8927403607.7999992</v>
      </c>
      <c r="T69" s="4">
        <v>33513173314.919998</v>
      </c>
      <c r="U69" s="23"/>
      <c r="V69" s="24"/>
      <c r="W69" s="17" t="s">
        <v>796</v>
      </c>
      <c r="X69" s="17" t="s">
        <v>716</v>
      </c>
      <c r="Y69" s="15"/>
      <c r="Z69" s="17"/>
      <c r="AA69" s="17" t="s">
        <v>716</v>
      </c>
      <c r="AB69" s="81"/>
      <c r="AC69" s="16" t="s">
        <v>716</v>
      </c>
      <c r="AD69" s="16" t="s">
        <v>848</v>
      </c>
      <c r="AE69" s="16" t="s">
        <v>855</v>
      </c>
      <c r="AF69" s="16" t="str">
        <f>_xlfn.CONCAT(EjecucionHaciendaDiciembre[[#This Row],[NOMBRE_RUBRO]]," - ",EjecucionHaciendaDiciembre[[#This Row],[NOMBRE_RECURSO]])</f>
        <v>Autopistas, carreteras, calles - 1.2.3.3.03 - APORTES NACION</v>
      </c>
      <c r="AH69" s="4">
        <f>26687369038+13648826686.08+78465051272</f>
        <v>118801246996.08</v>
      </c>
      <c r="AI69" s="1"/>
      <c r="AJ69" s="1"/>
      <c r="AK69" s="1"/>
      <c r="AL69" s="1"/>
      <c r="AM69" s="1"/>
    </row>
    <row r="70" spans="1:39" ht="43.2" x14ac:dyDescent="0.3">
      <c r="A70" s="36" t="s">
        <v>67</v>
      </c>
      <c r="B70" s="36" t="s">
        <v>188</v>
      </c>
      <c r="C70" s="37" t="s">
        <v>218</v>
      </c>
      <c r="D70" s="37" t="s">
        <v>294</v>
      </c>
      <c r="E70" s="37" t="s">
        <v>370</v>
      </c>
      <c r="F70" s="36" t="s">
        <v>384</v>
      </c>
      <c r="G70" s="37" t="s">
        <v>399</v>
      </c>
      <c r="H70" s="36"/>
      <c r="I70" s="38">
        <v>0</v>
      </c>
      <c r="J70" s="38">
        <v>177085110</v>
      </c>
      <c r="K70" s="38">
        <v>0</v>
      </c>
      <c r="L70" s="38">
        <v>0</v>
      </c>
      <c r="M70" s="38">
        <v>177085110</v>
      </c>
      <c r="N70" s="38">
        <v>0</v>
      </c>
      <c r="O70" s="38">
        <v>0</v>
      </c>
      <c r="P70" s="38">
        <v>0</v>
      </c>
      <c r="Q70" s="38">
        <v>0</v>
      </c>
      <c r="R70" s="38">
        <v>0</v>
      </c>
      <c r="S70" s="38">
        <v>0</v>
      </c>
      <c r="T70" s="38">
        <v>0</v>
      </c>
      <c r="U70" s="39"/>
      <c r="V70" s="84"/>
      <c r="W70" s="17"/>
      <c r="X70" s="17" t="s">
        <v>716</v>
      </c>
      <c r="Y70" s="15"/>
      <c r="Z70" s="17"/>
      <c r="AA70" s="17" t="s">
        <v>716</v>
      </c>
      <c r="AB70" s="81"/>
      <c r="AC70" s="16" t="s">
        <v>716</v>
      </c>
      <c r="AD70" s="16" t="s">
        <v>849</v>
      </c>
      <c r="AE70" s="16" t="s">
        <v>855</v>
      </c>
      <c r="AF70" s="16" t="str">
        <f>_xlfn.CONCAT(EjecucionHaciendaDiciembre[[#This Row],[NOMBRE_RUBRO]]," - ",EjecucionHaciendaDiciembre[[#This Row],[NOMBRE_RECURSO]])</f>
        <v>Autopistas, carreteras, calles - 1.3.3.1.00-RECURSOS DEL BALANCE DE LIBRE DESTINACION</v>
      </c>
      <c r="AH70" s="1"/>
      <c r="AI70" s="1"/>
      <c r="AJ70" s="1"/>
      <c r="AK70" s="1"/>
      <c r="AL70" s="1"/>
      <c r="AM70" s="1"/>
    </row>
    <row r="71" spans="1:39" ht="198" customHeight="1" x14ac:dyDescent="0.3">
      <c r="A71" s="3" t="s">
        <v>67</v>
      </c>
      <c r="B71" s="3" t="s">
        <v>188</v>
      </c>
      <c r="C71" s="2" t="s">
        <v>218</v>
      </c>
      <c r="D71" s="2" t="s">
        <v>294</v>
      </c>
      <c r="E71" s="2" t="s">
        <v>370</v>
      </c>
      <c r="F71" s="3" t="s">
        <v>384</v>
      </c>
      <c r="G71" s="2" t="s">
        <v>412</v>
      </c>
      <c r="H71" s="3" t="s">
        <v>646</v>
      </c>
      <c r="I71" s="4">
        <v>0</v>
      </c>
      <c r="J71" s="4">
        <v>0</v>
      </c>
      <c r="K71" s="4">
        <v>0</v>
      </c>
      <c r="L71" s="4">
        <v>177085110</v>
      </c>
      <c r="M71" s="4">
        <v>0</v>
      </c>
      <c r="N71" s="4">
        <v>177085110</v>
      </c>
      <c r="O71" s="4">
        <v>177085110</v>
      </c>
      <c r="P71" s="4">
        <v>177085110</v>
      </c>
      <c r="Q71" s="4">
        <v>177085110</v>
      </c>
      <c r="R71" s="4">
        <v>0</v>
      </c>
      <c r="S71" s="4">
        <v>0</v>
      </c>
      <c r="T71" s="4">
        <v>0</v>
      </c>
      <c r="U71" s="23" t="s">
        <v>645</v>
      </c>
      <c r="V71" s="24">
        <v>240211400</v>
      </c>
      <c r="W71" s="17" t="s">
        <v>721</v>
      </c>
      <c r="X71" s="17" t="s">
        <v>748</v>
      </c>
      <c r="Y71" s="15" t="s">
        <v>781</v>
      </c>
      <c r="Z71" s="17">
        <v>2025</v>
      </c>
      <c r="AA71" s="17" t="s">
        <v>716</v>
      </c>
      <c r="AB71" s="81">
        <v>2025</v>
      </c>
      <c r="AC71" s="16" t="s">
        <v>716</v>
      </c>
      <c r="AD71" s="16" t="s">
        <v>849</v>
      </c>
      <c r="AE71" s="16" t="s">
        <v>857</v>
      </c>
      <c r="AF71" s="16" t="str">
        <f>_xlfn.CONCAT(EjecucionHaciendaDiciembre[[#This Row],[NOMBRE_RUBRO]]," - ",EjecucionHaciendaDiciembre[[#This Row],[NOMBRE_RECURSO]])</f>
        <v>Autopistas, carreteras, calles - 1.3.3.1.00-RECURSOS DEL BALANCE DE LIBRE DESTINACION</v>
      </c>
      <c r="AH71" s="1"/>
      <c r="AI71" s="1"/>
      <c r="AJ71" s="1"/>
      <c r="AK71" s="1"/>
      <c r="AL71" s="1"/>
      <c r="AM71" s="1"/>
    </row>
    <row r="72" spans="1:39" ht="28.8" x14ac:dyDescent="0.3">
      <c r="A72" s="32" t="s">
        <v>67</v>
      </c>
      <c r="B72" s="32" t="s">
        <v>188</v>
      </c>
      <c r="C72" s="33" t="s">
        <v>223</v>
      </c>
      <c r="D72" s="33" t="s">
        <v>299</v>
      </c>
      <c r="E72" s="33" t="s">
        <v>370</v>
      </c>
      <c r="F72" s="32" t="s">
        <v>384</v>
      </c>
      <c r="G72" s="33" t="s">
        <v>399</v>
      </c>
      <c r="H72" s="32"/>
      <c r="I72" s="34">
        <v>1167227571</v>
      </c>
      <c r="J72" s="34">
        <v>0</v>
      </c>
      <c r="K72" s="34">
        <v>0</v>
      </c>
      <c r="L72" s="34">
        <v>0</v>
      </c>
      <c r="M72" s="34">
        <v>1128227208.53</v>
      </c>
      <c r="N72" s="34">
        <v>39000362.469999999</v>
      </c>
      <c r="O72" s="34">
        <v>0</v>
      </c>
      <c r="P72" s="34">
        <v>0</v>
      </c>
      <c r="Q72" s="34">
        <v>0</v>
      </c>
      <c r="R72" s="34">
        <v>0</v>
      </c>
      <c r="S72" s="34">
        <v>0</v>
      </c>
      <c r="T72" s="34">
        <v>39000362.469999999</v>
      </c>
      <c r="U72" s="35"/>
      <c r="V72" s="85"/>
      <c r="W72" s="17"/>
      <c r="X72" s="17" t="s">
        <v>716</v>
      </c>
      <c r="Y72" s="15"/>
      <c r="Z72" s="17"/>
      <c r="AA72" s="17" t="s">
        <v>716</v>
      </c>
      <c r="AB72" s="81"/>
      <c r="AC72" s="16" t="s">
        <v>716</v>
      </c>
      <c r="AD72" s="16" t="s">
        <v>848</v>
      </c>
      <c r="AE72" s="16" t="s">
        <v>855</v>
      </c>
      <c r="AF72" s="16" t="str">
        <f>_xlfn.CONCAT(EjecucionHaciendaDiciembre[[#This Row],[NOMBRE_RUBRO]]," - ",EjecucionHaciendaDiciembre[[#This Row],[NOMBRE_RECURSO]])</f>
        <v>Autopistas, carreteras, calles - 1.2.2.0.00-INGRESOS CORRIENTES ACPM</v>
      </c>
      <c r="AH72" s="1"/>
      <c r="AI72" s="1"/>
      <c r="AJ72" s="1"/>
      <c r="AK72" s="1"/>
      <c r="AL72" s="1"/>
      <c r="AM72" s="1"/>
    </row>
    <row r="73" spans="1:39" ht="43.2" x14ac:dyDescent="0.3">
      <c r="A73" s="3" t="s">
        <v>67</v>
      </c>
      <c r="B73" s="3" t="s">
        <v>188</v>
      </c>
      <c r="C73" s="2" t="s">
        <v>223</v>
      </c>
      <c r="D73" s="2" t="s">
        <v>299</v>
      </c>
      <c r="E73" s="2" t="s">
        <v>370</v>
      </c>
      <c r="F73" s="3" t="s">
        <v>384</v>
      </c>
      <c r="G73" s="2" t="s">
        <v>411</v>
      </c>
      <c r="H73" s="3" t="s">
        <v>644</v>
      </c>
      <c r="I73" s="4">
        <v>0</v>
      </c>
      <c r="J73" s="4">
        <v>0</v>
      </c>
      <c r="K73" s="4">
        <v>0</v>
      </c>
      <c r="L73" s="4">
        <v>75913516</v>
      </c>
      <c r="M73" s="4">
        <v>0</v>
      </c>
      <c r="N73" s="4">
        <v>75913516</v>
      </c>
      <c r="O73" s="4">
        <v>75913516</v>
      </c>
      <c r="P73" s="4">
        <v>75913516</v>
      </c>
      <c r="Q73" s="4">
        <v>75913516</v>
      </c>
      <c r="R73" s="4">
        <v>10141200</v>
      </c>
      <c r="S73" s="4">
        <v>5070600</v>
      </c>
      <c r="T73" s="4">
        <v>0</v>
      </c>
      <c r="U73" s="23" t="s">
        <v>645</v>
      </c>
      <c r="V73" s="31">
        <v>240211400</v>
      </c>
      <c r="W73" s="17"/>
      <c r="X73" s="17" t="s">
        <v>748</v>
      </c>
      <c r="Y73" s="15" t="s">
        <v>780</v>
      </c>
      <c r="Z73" s="17" t="s">
        <v>780</v>
      </c>
      <c r="AA73" s="17" t="s">
        <v>716</v>
      </c>
      <c r="AB73" s="81" t="s">
        <v>780</v>
      </c>
      <c r="AC73" s="16" t="s">
        <v>716</v>
      </c>
      <c r="AD73" s="16" t="s">
        <v>848</v>
      </c>
      <c r="AE73" s="16" t="s">
        <v>863</v>
      </c>
      <c r="AF73" s="16" t="str">
        <f>_xlfn.CONCAT(EjecucionHaciendaDiciembre[[#This Row],[NOMBRE_RUBRO]]," - ",EjecucionHaciendaDiciembre[[#This Row],[NOMBRE_RECURSO]])</f>
        <v>Autopistas, carreteras, calles - 1.2.2.0.00-INGRESOS CORRIENTES ACPM</v>
      </c>
      <c r="AH73" s="1"/>
      <c r="AI73" s="1"/>
      <c r="AJ73" s="1"/>
      <c r="AK73" s="1"/>
      <c r="AL73" s="1"/>
      <c r="AM73" s="1"/>
    </row>
    <row r="74" spans="1:39" ht="168" customHeight="1" x14ac:dyDescent="0.3">
      <c r="A74" s="3" t="s">
        <v>67</v>
      </c>
      <c r="B74" s="3" t="s">
        <v>188</v>
      </c>
      <c r="C74" s="2" t="s">
        <v>223</v>
      </c>
      <c r="D74" s="2" t="s">
        <v>299</v>
      </c>
      <c r="E74" s="2" t="s">
        <v>370</v>
      </c>
      <c r="F74" s="3" t="s">
        <v>384</v>
      </c>
      <c r="G74" s="2" t="s">
        <v>412</v>
      </c>
      <c r="H74" s="3" t="s">
        <v>646</v>
      </c>
      <c r="I74" s="4">
        <v>0</v>
      </c>
      <c r="J74" s="4">
        <v>0</v>
      </c>
      <c r="K74" s="4">
        <v>0</v>
      </c>
      <c r="L74" s="4">
        <v>335000000</v>
      </c>
      <c r="M74" s="4">
        <v>0</v>
      </c>
      <c r="N74" s="4">
        <v>335000000</v>
      </c>
      <c r="O74" s="4">
        <v>335000000</v>
      </c>
      <c r="P74" s="4">
        <v>335000000</v>
      </c>
      <c r="Q74" s="4">
        <v>335000000</v>
      </c>
      <c r="R74" s="4">
        <v>0</v>
      </c>
      <c r="S74" s="4">
        <v>0</v>
      </c>
      <c r="T74" s="4">
        <v>0</v>
      </c>
      <c r="U74" s="23" t="s">
        <v>645</v>
      </c>
      <c r="V74" s="24">
        <v>240211400</v>
      </c>
      <c r="W74" s="17" t="s">
        <v>721</v>
      </c>
      <c r="X74" s="17" t="s">
        <v>748</v>
      </c>
      <c r="Y74" s="15" t="s">
        <v>781</v>
      </c>
      <c r="Z74" s="17">
        <v>2025</v>
      </c>
      <c r="AA74" s="17" t="s">
        <v>716</v>
      </c>
      <c r="AB74" s="81">
        <v>2025</v>
      </c>
      <c r="AC74" s="16" t="s">
        <v>716</v>
      </c>
      <c r="AD74" s="16" t="s">
        <v>848</v>
      </c>
      <c r="AE74" s="16" t="s">
        <v>857</v>
      </c>
      <c r="AF74" s="16" t="str">
        <f>_xlfn.CONCAT(EjecucionHaciendaDiciembre[[#This Row],[NOMBRE_RUBRO]]," - ",EjecucionHaciendaDiciembre[[#This Row],[NOMBRE_RECURSO]])</f>
        <v>Autopistas, carreteras, calles - 1.2.2.0.00-INGRESOS CORRIENTES ACPM</v>
      </c>
      <c r="AH74" s="1"/>
      <c r="AI74" s="1"/>
      <c r="AJ74" s="1"/>
      <c r="AK74" s="1"/>
      <c r="AL74" s="1"/>
      <c r="AM74" s="1"/>
    </row>
    <row r="75" spans="1:39" ht="28.8" x14ac:dyDescent="0.3">
      <c r="A75" s="40" t="s">
        <v>67</v>
      </c>
      <c r="B75" s="40" t="s">
        <v>188</v>
      </c>
      <c r="C75" s="41" t="s">
        <v>223</v>
      </c>
      <c r="D75" s="41" t="s">
        <v>299</v>
      </c>
      <c r="E75" s="41" t="s">
        <v>370</v>
      </c>
      <c r="F75" s="40" t="s">
        <v>384</v>
      </c>
      <c r="G75" s="41" t="s">
        <v>413</v>
      </c>
      <c r="H75" s="40" t="s">
        <v>647</v>
      </c>
      <c r="I75" s="42">
        <v>0</v>
      </c>
      <c r="J75" s="42">
        <v>0</v>
      </c>
      <c r="K75" s="42">
        <v>0</v>
      </c>
      <c r="L75" s="42">
        <v>717313692.52999997</v>
      </c>
      <c r="M75" s="42">
        <v>0</v>
      </c>
      <c r="N75" s="42">
        <v>717313692.52999997</v>
      </c>
      <c r="O75" s="42">
        <v>717313692.52999997</v>
      </c>
      <c r="P75" s="43">
        <v>717313692.52999997</v>
      </c>
      <c r="Q75" s="42">
        <v>0</v>
      </c>
      <c r="R75" s="42">
        <v>0</v>
      </c>
      <c r="S75" s="42">
        <v>0</v>
      </c>
      <c r="T75" s="42">
        <v>0</v>
      </c>
      <c r="U75" s="44" t="s">
        <v>648</v>
      </c>
      <c r="V75" s="45">
        <v>240202100</v>
      </c>
      <c r="W75" s="17" t="s">
        <v>720</v>
      </c>
      <c r="X75" s="17" t="s">
        <v>749</v>
      </c>
      <c r="Y75" s="15" t="s">
        <v>781</v>
      </c>
      <c r="Z75" s="17">
        <v>2025</v>
      </c>
      <c r="AA75" s="17" t="s">
        <v>716</v>
      </c>
      <c r="AB75" s="81">
        <v>2025</v>
      </c>
      <c r="AC75" s="16" t="s">
        <v>716</v>
      </c>
      <c r="AD75" s="16" t="s">
        <v>848</v>
      </c>
      <c r="AE75" s="16" t="s">
        <v>855</v>
      </c>
      <c r="AF75" s="16" t="str">
        <f>_xlfn.CONCAT(EjecucionHaciendaDiciembre[[#This Row],[NOMBRE_RUBRO]]," - ",EjecucionHaciendaDiciembre[[#This Row],[NOMBRE_RECURSO]])</f>
        <v>Autopistas, carreteras, calles - 1.2.2.0.00-INGRESOS CORRIENTES ACPM</v>
      </c>
      <c r="AH75" s="1"/>
      <c r="AI75" s="1"/>
      <c r="AJ75" s="1"/>
      <c r="AK75" s="1"/>
      <c r="AL75" s="1"/>
      <c r="AM75" s="1"/>
    </row>
    <row r="76" spans="1:39" ht="43.2" x14ac:dyDescent="0.3">
      <c r="A76" s="3" t="s">
        <v>68</v>
      </c>
      <c r="B76" s="3" t="s">
        <v>189</v>
      </c>
      <c r="C76" s="2" t="s">
        <v>218</v>
      </c>
      <c r="D76" s="2" t="s">
        <v>294</v>
      </c>
      <c r="E76" s="2" t="s">
        <v>370</v>
      </c>
      <c r="F76" s="3" t="s">
        <v>785</v>
      </c>
      <c r="G76" s="2" t="s">
        <v>414</v>
      </c>
      <c r="H76" s="3" t="s">
        <v>649</v>
      </c>
      <c r="I76" s="4">
        <v>0</v>
      </c>
      <c r="J76" s="4">
        <v>0</v>
      </c>
      <c r="K76" s="4">
        <v>0</v>
      </c>
      <c r="L76" s="4">
        <v>893448750.61000001</v>
      </c>
      <c r="M76" s="4">
        <v>0</v>
      </c>
      <c r="N76" s="4">
        <v>893448750.61000001</v>
      </c>
      <c r="O76" s="4">
        <v>893448750.61000001</v>
      </c>
      <c r="P76" s="4">
        <v>893448750.61000001</v>
      </c>
      <c r="Q76" s="4">
        <v>893448750.61000001</v>
      </c>
      <c r="R76" s="4">
        <v>0</v>
      </c>
      <c r="S76" s="4">
        <v>0</v>
      </c>
      <c r="T76" s="4">
        <v>0</v>
      </c>
      <c r="U76" s="23" t="s">
        <v>651</v>
      </c>
      <c r="V76" s="24">
        <v>210205800</v>
      </c>
      <c r="W76" s="17" t="s">
        <v>726</v>
      </c>
      <c r="X76" s="17" t="s">
        <v>751</v>
      </c>
      <c r="Y76" s="15" t="s">
        <v>781</v>
      </c>
      <c r="Z76" s="17">
        <v>2025</v>
      </c>
      <c r="AA76" s="17" t="s">
        <v>716</v>
      </c>
      <c r="AB76" s="81">
        <v>2025</v>
      </c>
      <c r="AC76" s="16" t="s">
        <v>716</v>
      </c>
      <c r="AD76" s="16" t="s">
        <v>849</v>
      </c>
      <c r="AE76" s="16" t="s">
        <v>856</v>
      </c>
      <c r="AF76" s="16" t="str">
        <f>_xlfn.CONCAT(EjecucionHaciendaDiciembre[[#This Row],[NOMBRE_RUBRO]]," - ",EjecucionHaciendaDiciembre[[#This Row],[NOMBRE_RECURSO]])</f>
        <v>Obras para la comunicación de larga distancia y las líneas eléctricas (cables) - 1.3.3.1.00-RECURSOS DEL BALANCE DE LIBRE DESTINACION</v>
      </c>
      <c r="AH76" s="1"/>
      <c r="AI76" s="1"/>
      <c r="AJ76" s="1"/>
      <c r="AK76" s="1"/>
      <c r="AL76" s="1"/>
      <c r="AM76" s="1"/>
    </row>
    <row r="77" spans="1:39" ht="43.2" x14ac:dyDescent="0.3">
      <c r="A77" s="32" t="s">
        <v>68</v>
      </c>
      <c r="B77" s="32" t="s">
        <v>189</v>
      </c>
      <c r="C77" s="33" t="s">
        <v>235</v>
      </c>
      <c r="D77" s="33" t="s">
        <v>311</v>
      </c>
      <c r="E77" s="33" t="s">
        <v>370</v>
      </c>
      <c r="F77" s="32" t="s">
        <v>384</v>
      </c>
      <c r="G77" s="33" t="s">
        <v>399</v>
      </c>
      <c r="H77" s="32"/>
      <c r="I77" s="34">
        <v>893808386.85000002</v>
      </c>
      <c r="J77" s="34">
        <v>0</v>
      </c>
      <c r="K77" s="34">
        <v>0</v>
      </c>
      <c r="L77" s="34">
        <v>0</v>
      </c>
      <c r="M77" s="34">
        <v>366038740</v>
      </c>
      <c r="N77" s="34">
        <v>527769646.85000002</v>
      </c>
      <c r="O77" s="34">
        <v>0</v>
      </c>
      <c r="P77" s="34">
        <v>0</v>
      </c>
      <c r="Q77" s="34">
        <v>0</v>
      </c>
      <c r="R77" s="34">
        <v>0</v>
      </c>
      <c r="S77" s="34">
        <v>0</v>
      </c>
      <c r="T77" s="34">
        <v>527769646.85000002</v>
      </c>
      <c r="U77" s="35"/>
      <c r="V77" s="85"/>
      <c r="W77" s="17"/>
      <c r="X77" s="17" t="s">
        <v>716</v>
      </c>
      <c r="Y77" s="15"/>
      <c r="Z77" s="17"/>
      <c r="AA77" s="17" t="s">
        <v>716</v>
      </c>
      <c r="AB77" s="81"/>
      <c r="AC77" s="16" t="s">
        <v>716</v>
      </c>
      <c r="AD77" s="16" t="s">
        <v>848</v>
      </c>
      <c r="AE77" s="16" t="s">
        <v>855</v>
      </c>
      <c r="AF77" s="16" t="str">
        <f>_xlfn.CONCAT(EjecucionHaciendaDiciembre[[#This Row],[NOMBRE_RUBRO]]," - ",EjecucionHaciendaDiciembre[[#This Row],[NOMBRE_RECURSO]])</f>
        <v>Obras para la comunicación de larga distancia y las líneas eléctricas (cables) - 1.2.3.1.19 - ESTAMPILLAS PRO ELECTRIFICACION RURAL</v>
      </c>
      <c r="AH77" s="1"/>
      <c r="AI77" s="1"/>
      <c r="AJ77" s="1"/>
      <c r="AK77" s="1"/>
      <c r="AL77" s="1"/>
      <c r="AM77" s="1"/>
    </row>
    <row r="78" spans="1:39" ht="43.2" x14ac:dyDescent="0.3">
      <c r="A78" s="3" t="s">
        <v>68</v>
      </c>
      <c r="B78" s="3" t="s">
        <v>189</v>
      </c>
      <c r="C78" s="2" t="s">
        <v>235</v>
      </c>
      <c r="D78" s="2" t="s">
        <v>311</v>
      </c>
      <c r="E78" s="2" t="s">
        <v>370</v>
      </c>
      <c r="F78" s="3" t="s">
        <v>785</v>
      </c>
      <c r="G78" s="2" t="s">
        <v>415</v>
      </c>
      <c r="H78" s="3" t="s">
        <v>650</v>
      </c>
      <c r="I78" s="4">
        <v>1256674257.1500001</v>
      </c>
      <c r="J78" s="4">
        <v>0</v>
      </c>
      <c r="K78" s="4">
        <v>0</v>
      </c>
      <c r="L78" s="4">
        <v>0</v>
      </c>
      <c r="M78" s="4">
        <v>0</v>
      </c>
      <c r="N78" s="4">
        <v>1256674257.1500001</v>
      </c>
      <c r="O78" s="4">
        <v>1256674257.1500001</v>
      </c>
      <c r="P78" s="4">
        <v>1256674257.1500001</v>
      </c>
      <c r="Q78" s="4">
        <v>1256674257.1500001</v>
      </c>
      <c r="R78" s="4">
        <v>164348774.84999999</v>
      </c>
      <c r="S78" s="4">
        <v>164348774.84999999</v>
      </c>
      <c r="T78" s="4">
        <v>0</v>
      </c>
      <c r="U78" s="23" t="s">
        <v>651</v>
      </c>
      <c r="V78" s="24">
        <v>210205800</v>
      </c>
      <c r="W78" s="17" t="s">
        <v>786</v>
      </c>
      <c r="X78" s="17" t="s">
        <v>752</v>
      </c>
      <c r="Y78" s="15" t="s">
        <v>783</v>
      </c>
      <c r="Z78" s="17" t="s">
        <v>783</v>
      </c>
      <c r="AA78" s="17" t="s">
        <v>716</v>
      </c>
      <c r="AB78" s="81" t="s">
        <v>783</v>
      </c>
      <c r="AC78" s="16" t="s">
        <v>716</v>
      </c>
      <c r="AD78" s="16" t="s">
        <v>848</v>
      </c>
      <c r="AE78" s="16" t="s">
        <v>855</v>
      </c>
      <c r="AF78" s="16" t="str">
        <f>_xlfn.CONCAT(EjecucionHaciendaDiciembre[[#This Row],[NOMBRE_RUBRO]]," - ",EjecucionHaciendaDiciembre[[#This Row],[NOMBRE_RECURSO]])</f>
        <v>Obras para la comunicación de larga distancia y las líneas eléctricas (cables) - 1.2.3.1.19 - ESTAMPILLAS PRO ELECTRIFICACION RURAL</v>
      </c>
      <c r="AH78" s="1"/>
      <c r="AI78" s="1"/>
      <c r="AJ78" s="1"/>
      <c r="AK78" s="1"/>
      <c r="AL78" s="1"/>
      <c r="AM78" s="1"/>
    </row>
    <row r="79" spans="1:39" ht="86.4" x14ac:dyDescent="0.3">
      <c r="A79" s="3" t="s">
        <v>68</v>
      </c>
      <c r="B79" s="3" t="s">
        <v>189</v>
      </c>
      <c r="C79" s="2" t="s">
        <v>235</v>
      </c>
      <c r="D79" s="2" t="s">
        <v>311</v>
      </c>
      <c r="E79" s="2" t="s">
        <v>370</v>
      </c>
      <c r="F79" s="3" t="s">
        <v>785</v>
      </c>
      <c r="G79" s="2" t="s">
        <v>416</v>
      </c>
      <c r="H79" s="3" t="s">
        <v>653</v>
      </c>
      <c r="I79" s="4">
        <v>0</v>
      </c>
      <c r="J79" s="4">
        <v>0</v>
      </c>
      <c r="K79" s="4">
        <v>0</v>
      </c>
      <c r="L79" s="4">
        <v>366038740</v>
      </c>
      <c r="M79" s="4">
        <v>0</v>
      </c>
      <c r="N79" s="4">
        <v>366038740</v>
      </c>
      <c r="O79" s="4">
        <v>366038740</v>
      </c>
      <c r="P79" s="4">
        <v>366038740</v>
      </c>
      <c r="Q79" s="4">
        <v>366038740</v>
      </c>
      <c r="R79" s="4">
        <v>0</v>
      </c>
      <c r="S79" s="4">
        <v>0</v>
      </c>
      <c r="T79" s="4">
        <v>0</v>
      </c>
      <c r="U79" s="23" t="s">
        <v>654</v>
      </c>
      <c r="V79" s="31">
        <v>210203300</v>
      </c>
      <c r="W79" s="17" t="s">
        <v>726</v>
      </c>
      <c r="X79" s="17" t="s">
        <v>751</v>
      </c>
      <c r="Y79" s="15" t="s">
        <v>781</v>
      </c>
      <c r="Z79" s="17">
        <v>2025</v>
      </c>
      <c r="AA79" s="17" t="s">
        <v>716</v>
      </c>
      <c r="AB79" s="81">
        <v>2025</v>
      </c>
      <c r="AC79" s="16" t="s">
        <v>716</v>
      </c>
      <c r="AD79" s="16" t="s">
        <v>848</v>
      </c>
      <c r="AE79" s="16" t="s">
        <v>855</v>
      </c>
      <c r="AF79" s="16" t="str">
        <f>_xlfn.CONCAT(EjecucionHaciendaDiciembre[[#This Row],[NOMBRE_RUBRO]]," - ",EjecucionHaciendaDiciembre[[#This Row],[NOMBRE_RECURSO]])</f>
        <v>Obras para la comunicación de larga distancia y las líneas eléctricas (cables) - 1.2.3.1.19 - ESTAMPILLAS PRO ELECTRIFICACION RURAL</v>
      </c>
      <c r="AH79" s="1"/>
      <c r="AI79" s="1"/>
      <c r="AJ79" s="1"/>
      <c r="AK79" s="1"/>
      <c r="AL79" s="1"/>
      <c r="AM79" s="1"/>
    </row>
    <row r="80" spans="1:39" ht="43.2" x14ac:dyDescent="0.3">
      <c r="A80" s="3" t="s">
        <v>68</v>
      </c>
      <c r="B80" s="3" t="s">
        <v>189</v>
      </c>
      <c r="C80" s="2" t="s">
        <v>236</v>
      </c>
      <c r="D80" s="2" t="s">
        <v>312</v>
      </c>
      <c r="E80" s="2" t="s">
        <v>370</v>
      </c>
      <c r="F80" s="3" t="s">
        <v>785</v>
      </c>
      <c r="G80" s="2" t="s">
        <v>415</v>
      </c>
      <c r="H80" s="3" t="s">
        <v>650</v>
      </c>
      <c r="I80" s="4">
        <v>0</v>
      </c>
      <c r="J80" s="4">
        <v>284077200</v>
      </c>
      <c r="K80" s="4">
        <v>0</v>
      </c>
      <c r="L80" s="4">
        <v>0</v>
      </c>
      <c r="M80" s="4">
        <v>0</v>
      </c>
      <c r="N80" s="4">
        <v>284077200</v>
      </c>
      <c r="O80" s="4">
        <v>264992188.53999999</v>
      </c>
      <c r="P80" s="4">
        <v>264992188.53999999</v>
      </c>
      <c r="Q80" s="4">
        <v>228867978.56</v>
      </c>
      <c r="R80" s="4">
        <v>0</v>
      </c>
      <c r="S80" s="4">
        <v>0</v>
      </c>
      <c r="T80" s="4">
        <v>19085011.460000001</v>
      </c>
      <c r="U80" s="23" t="s">
        <v>651</v>
      </c>
      <c r="V80" s="24">
        <v>210205800</v>
      </c>
      <c r="W80" s="17" t="s">
        <v>786</v>
      </c>
      <c r="X80" s="17" t="s">
        <v>752</v>
      </c>
      <c r="Y80" s="15" t="s">
        <v>783</v>
      </c>
      <c r="Z80" s="17" t="s">
        <v>783</v>
      </c>
      <c r="AA80" s="17" t="s">
        <v>716</v>
      </c>
      <c r="AB80" s="81" t="s">
        <v>783</v>
      </c>
      <c r="AC80" s="16" t="s">
        <v>716</v>
      </c>
      <c r="AD80" s="16" t="s">
        <v>848</v>
      </c>
      <c r="AE80" s="16" t="s">
        <v>855</v>
      </c>
      <c r="AF80" s="16" t="str">
        <f>_xlfn.CONCAT(EjecucionHaciendaDiciembre[[#This Row],[NOMBRE_RUBRO]]," - ",EjecucionHaciendaDiciembre[[#This Row],[NOMBRE_RECURSO]])</f>
        <v>Obras para la comunicación de larga distancia y las líneas eléctricas (cables) - 1.3.3.3.20-R.B. ESTAMPILLA PRO ELECTRIFICACION RURAL</v>
      </c>
      <c r="AH80" s="1"/>
      <c r="AI80" s="1"/>
      <c r="AJ80" s="1"/>
      <c r="AK80" s="1"/>
      <c r="AL80" s="1"/>
      <c r="AM80" s="1"/>
    </row>
    <row r="81" spans="1:39" ht="43.2" x14ac:dyDescent="0.3">
      <c r="A81" s="3" t="s">
        <v>68</v>
      </c>
      <c r="B81" s="3" t="s">
        <v>189</v>
      </c>
      <c r="C81" s="2" t="s">
        <v>236</v>
      </c>
      <c r="D81" s="2" t="s">
        <v>312</v>
      </c>
      <c r="E81" s="2" t="s">
        <v>370</v>
      </c>
      <c r="F81" s="3" t="s">
        <v>785</v>
      </c>
      <c r="G81" s="2" t="s">
        <v>417</v>
      </c>
      <c r="H81" s="3" t="s">
        <v>655</v>
      </c>
      <c r="I81" s="4">
        <v>0</v>
      </c>
      <c r="J81" s="4">
        <v>3246052121</v>
      </c>
      <c r="K81" s="4">
        <v>0</v>
      </c>
      <c r="L81" s="4">
        <v>0</v>
      </c>
      <c r="M81" s="4">
        <v>0</v>
      </c>
      <c r="N81" s="4">
        <v>3246052121</v>
      </c>
      <c r="O81" s="4">
        <v>3246052121</v>
      </c>
      <c r="P81" s="4">
        <v>3246052121</v>
      </c>
      <c r="Q81" s="4">
        <v>3076940344</v>
      </c>
      <c r="R81" s="4">
        <v>0</v>
      </c>
      <c r="S81" s="4">
        <v>0</v>
      </c>
      <c r="T81" s="4">
        <v>0</v>
      </c>
      <c r="U81" s="23" t="s">
        <v>651</v>
      </c>
      <c r="V81" s="31">
        <v>210205800</v>
      </c>
      <c r="W81" s="17" t="s">
        <v>726</v>
      </c>
      <c r="X81" s="17" t="s">
        <v>749</v>
      </c>
      <c r="Y81" s="15" t="s">
        <v>781</v>
      </c>
      <c r="Z81" s="17">
        <v>2025</v>
      </c>
      <c r="AA81" s="17" t="s">
        <v>716</v>
      </c>
      <c r="AB81" s="81">
        <v>2025</v>
      </c>
      <c r="AC81" s="16" t="s">
        <v>716</v>
      </c>
      <c r="AD81" s="16" t="s">
        <v>848</v>
      </c>
      <c r="AE81" s="16" t="s">
        <v>864</v>
      </c>
      <c r="AF81" s="16" t="str">
        <f>_xlfn.CONCAT(EjecucionHaciendaDiciembre[[#This Row],[NOMBRE_RUBRO]]," - ",EjecucionHaciendaDiciembre[[#This Row],[NOMBRE_RECURSO]])</f>
        <v>Obras para la comunicación de larga distancia y las líneas eléctricas (cables) - 1.3.3.3.20-R.B. ESTAMPILLA PRO ELECTRIFICACION RURAL</v>
      </c>
      <c r="AH81" s="1"/>
      <c r="AI81" s="1"/>
      <c r="AJ81" s="1"/>
      <c r="AK81" s="1"/>
      <c r="AL81" s="1"/>
      <c r="AM81" s="1"/>
    </row>
    <row r="82" spans="1:39" ht="43.2" x14ac:dyDescent="0.3">
      <c r="A82" s="3" t="s">
        <v>68</v>
      </c>
      <c r="B82" s="3" t="s">
        <v>189</v>
      </c>
      <c r="C82" s="2" t="s">
        <v>236</v>
      </c>
      <c r="D82" s="2" t="s">
        <v>312</v>
      </c>
      <c r="E82" s="2" t="s">
        <v>370</v>
      </c>
      <c r="F82" s="3" t="s">
        <v>785</v>
      </c>
      <c r="G82" s="2" t="s">
        <v>418</v>
      </c>
      <c r="H82" s="3" t="s">
        <v>656</v>
      </c>
      <c r="I82" s="4">
        <v>0</v>
      </c>
      <c r="J82" s="4">
        <v>667404339</v>
      </c>
      <c r="K82" s="4">
        <v>0</v>
      </c>
      <c r="L82" s="4">
        <v>0</v>
      </c>
      <c r="M82" s="4">
        <v>0</v>
      </c>
      <c r="N82" s="4">
        <v>667404339</v>
      </c>
      <c r="O82" s="4">
        <v>667404339</v>
      </c>
      <c r="P82" s="4">
        <v>667404339</v>
      </c>
      <c r="Q82" s="4">
        <v>666407875</v>
      </c>
      <c r="R82" s="4">
        <v>0</v>
      </c>
      <c r="S82" s="4">
        <v>0</v>
      </c>
      <c r="T82" s="4">
        <v>0</v>
      </c>
      <c r="U82" s="23" t="s">
        <v>657</v>
      </c>
      <c r="V82" s="31">
        <v>210204500</v>
      </c>
      <c r="W82" s="17" t="s">
        <v>726</v>
      </c>
      <c r="X82" s="17" t="s">
        <v>749</v>
      </c>
      <c r="Y82" s="15" t="s">
        <v>781</v>
      </c>
      <c r="Z82" s="17">
        <v>2025</v>
      </c>
      <c r="AA82" s="17" t="s">
        <v>716</v>
      </c>
      <c r="AB82" s="81">
        <v>2025</v>
      </c>
      <c r="AC82" s="16" t="s">
        <v>716</v>
      </c>
      <c r="AD82" s="16" t="s">
        <v>848</v>
      </c>
      <c r="AE82" s="16" t="s">
        <v>857</v>
      </c>
      <c r="AF82" s="16" t="str">
        <f>_xlfn.CONCAT(EjecucionHaciendaDiciembre[[#This Row],[NOMBRE_RUBRO]]," - ",EjecucionHaciendaDiciembre[[#This Row],[NOMBRE_RECURSO]])</f>
        <v>Obras para la comunicación de larga distancia y las líneas eléctricas (cables) - 1.3.3.3.20-R.B. ESTAMPILLA PRO ELECTRIFICACION RURAL</v>
      </c>
      <c r="AH82" s="1"/>
      <c r="AI82" s="1"/>
      <c r="AJ82" s="1"/>
      <c r="AK82" s="1"/>
      <c r="AL82" s="1"/>
      <c r="AM82" s="1"/>
    </row>
    <row r="83" spans="1:39" ht="72" x14ac:dyDescent="0.3">
      <c r="A83" s="3" t="s">
        <v>69</v>
      </c>
      <c r="B83" s="3" t="s">
        <v>190</v>
      </c>
      <c r="C83" s="2" t="s">
        <v>233</v>
      </c>
      <c r="D83" s="2" t="s">
        <v>309</v>
      </c>
      <c r="E83" s="2" t="s">
        <v>370</v>
      </c>
      <c r="F83" s="3" t="s">
        <v>384</v>
      </c>
      <c r="G83" s="2" t="s">
        <v>419</v>
      </c>
      <c r="H83" s="3" t="s">
        <v>658</v>
      </c>
      <c r="I83" s="4">
        <v>0</v>
      </c>
      <c r="J83" s="4">
        <v>7999399317</v>
      </c>
      <c r="K83" s="4">
        <v>0</v>
      </c>
      <c r="L83" s="4">
        <v>0</v>
      </c>
      <c r="M83" s="4">
        <v>0</v>
      </c>
      <c r="N83" s="4">
        <v>7999399317</v>
      </c>
      <c r="O83" s="4">
        <v>7999399317</v>
      </c>
      <c r="P83" s="4">
        <v>7999399317</v>
      </c>
      <c r="Q83" s="4">
        <v>7253204173</v>
      </c>
      <c r="R83" s="4">
        <v>2399819795</v>
      </c>
      <c r="S83" s="4">
        <v>2399819795</v>
      </c>
      <c r="T83" s="4">
        <v>0</v>
      </c>
      <c r="U83" s="23" t="s">
        <v>659</v>
      </c>
      <c r="V83" s="31">
        <v>350207800</v>
      </c>
      <c r="W83" s="17"/>
      <c r="X83" s="17" t="s">
        <v>748</v>
      </c>
      <c r="Y83" s="15" t="s">
        <v>781</v>
      </c>
      <c r="Z83" s="17">
        <v>2025</v>
      </c>
      <c r="AA83" s="17" t="s">
        <v>716</v>
      </c>
      <c r="AB83" s="81">
        <v>2025</v>
      </c>
      <c r="AC83" s="16" t="s">
        <v>716</v>
      </c>
      <c r="AD83" s="16" t="s">
        <v>848</v>
      </c>
      <c r="AE83" s="16" t="s">
        <v>862</v>
      </c>
      <c r="AF83" s="16" t="str">
        <f>_xlfn.CONCAT(EjecucionHaciendaDiciembre[[#This Row],[NOMBRE_RUBRO]]," - ",EjecucionHaciendaDiciembre[[#This Row],[NOMBRE_RECURSO]])</f>
        <v>Otras obras de ingeniería civil - 1.2.3.3.03 - APORTES NACION</v>
      </c>
      <c r="AH83" s="1"/>
      <c r="AI83" s="1"/>
      <c r="AJ83" s="1"/>
      <c r="AK83" s="1"/>
      <c r="AL83" s="1"/>
      <c r="AM83" s="1"/>
    </row>
    <row r="84" spans="1:39" ht="43.2" x14ac:dyDescent="0.3">
      <c r="A84" s="36" t="s">
        <v>69</v>
      </c>
      <c r="B84" s="36" t="s">
        <v>190</v>
      </c>
      <c r="C84" s="37" t="s">
        <v>218</v>
      </c>
      <c r="D84" s="37" t="s">
        <v>294</v>
      </c>
      <c r="E84" s="37" t="s">
        <v>370</v>
      </c>
      <c r="F84" s="36" t="s">
        <v>384</v>
      </c>
      <c r="G84" s="37" t="s">
        <v>399</v>
      </c>
      <c r="H84" s="36"/>
      <c r="I84" s="38">
        <v>0</v>
      </c>
      <c r="J84" s="38">
        <v>70585851.700000003</v>
      </c>
      <c r="K84" s="38">
        <v>0</v>
      </c>
      <c r="L84" s="38">
        <v>0</v>
      </c>
      <c r="M84" s="38">
        <v>70585851.700000003</v>
      </c>
      <c r="N84" s="38">
        <v>0</v>
      </c>
      <c r="O84" s="38">
        <v>0</v>
      </c>
      <c r="P84" s="38">
        <v>0</v>
      </c>
      <c r="Q84" s="38">
        <v>0</v>
      </c>
      <c r="R84" s="38">
        <v>0</v>
      </c>
      <c r="S84" s="38">
        <v>0</v>
      </c>
      <c r="T84" s="38">
        <v>0</v>
      </c>
      <c r="U84" s="39"/>
      <c r="V84" s="84"/>
      <c r="W84" s="17"/>
      <c r="X84" s="17" t="s">
        <v>716</v>
      </c>
      <c r="Y84" s="15"/>
      <c r="Z84" s="17"/>
      <c r="AA84" s="17" t="s">
        <v>716</v>
      </c>
      <c r="AB84" s="81"/>
      <c r="AC84" s="16" t="s">
        <v>716</v>
      </c>
      <c r="AD84" s="16" t="s">
        <v>849</v>
      </c>
      <c r="AE84" s="16" t="s">
        <v>855</v>
      </c>
      <c r="AF84" s="16" t="str">
        <f>_xlfn.CONCAT(EjecucionHaciendaDiciembre[[#This Row],[NOMBRE_RUBRO]]," - ",EjecucionHaciendaDiciembre[[#This Row],[NOMBRE_RECURSO]])</f>
        <v>Otras obras de ingeniería civil - 1.3.3.1.00-RECURSOS DEL BALANCE DE LIBRE DESTINACION</v>
      </c>
      <c r="AH84" s="1"/>
      <c r="AI84" s="1"/>
      <c r="AJ84" s="1"/>
      <c r="AK84" s="1"/>
      <c r="AL84" s="1"/>
      <c r="AM84" s="1"/>
    </row>
    <row r="85" spans="1:39" ht="43.2" x14ac:dyDescent="0.3">
      <c r="A85" s="3" t="s">
        <v>69</v>
      </c>
      <c r="B85" s="3" t="s">
        <v>190</v>
      </c>
      <c r="C85" s="2" t="s">
        <v>218</v>
      </c>
      <c r="D85" s="2" t="s">
        <v>294</v>
      </c>
      <c r="E85" s="2" t="s">
        <v>370</v>
      </c>
      <c r="F85" s="3" t="s">
        <v>384</v>
      </c>
      <c r="G85" s="2" t="s">
        <v>420</v>
      </c>
      <c r="H85" s="3" t="s">
        <v>660</v>
      </c>
      <c r="I85" s="4">
        <v>0</v>
      </c>
      <c r="J85" s="4">
        <v>0</v>
      </c>
      <c r="K85" s="4">
        <v>0</v>
      </c>
      <c r="L85" s="4">
        <v>70585851.700000003</v>
      </c>
      <c r="M85" s="4">
        <v>0</v>
      </c>
      <c r="N85" s="4">
        <v>70585851.700000003</v>
      </c>
      <c r="O85" s="4">
        <v>70585851.700000003</v>
      </c>
      <c r="P85" s="4">
        <v>70585851.700000003</v>
      </c>
      <c r="Q85" s="4">
        <v>63525650.5</v>
      </c>
      <c r="R85" s="4">
        <v>63525650.5</v>
      </c>
      <c r="S85" s="4">
        <v>0</v>
      </c>
      <c r="T85" s="4">
        <v>0</v>
      </c>
      <c r="U85" s="23" t="s">
        <v>661</v>
      </c>
      <c r="V85" s="31">
        <v>450106900</v>
      </c>
      <c r="W85" s="17" t="s">
        <v>830</v>
      </c>
      <c r="X85" s="17" t="s">
        <v>748</v>
      </c>
      <c r="Y85" s="15" t="s">
        <v>779</v>
      </c>
      <c r="Z85" s="17">
        <v>2024</v>
      </c>
      <c r="AA85" s="17" t="s">
        <v>716</v>
      </c>
      <c r="AB85" s="81">
        <v>2024</v>
      </c>
      <c r="AC85" s="16" t="s">
        <v>716</v>
      </c>
      <c r="AD85" s="16" t="s">
        <v>849</v>
      </c>
      <c r="AE85" s="16" t="s">
        <v>856</v>
      </c>
      <c r="AF85" s="16" t="str">
        <f>_xlfn.CONCAT(EjecucionHaciendaDiciembre[[#This Row],[NOMBRE_RUBRO]]," - ",EjecucionHaciendaDiciembre[[#This Row],[NOMBRE_RECURSO]])</f>
        <v>Otras obras de ingeniería civil - 1.3.3.1.00-RECURSOS DEL BALANCE DE LIBRE DESTINACION</v>
      </c>
      <c r="AH85" s="1"/>
      <c r="AI85" s="1"/>
      <c r="AJ85" s="1"/>
      <c r="AK85" s="1"/>
      <c r="AL85" s="1"/>
      <c r="AM85" s="1"/>
    </row>
    <row r="86" spans="1:39" ht="43.2" x14ac:dyDescent="0.3">
      <c r="A86" s="32" t="s">
        <v>69</v>
      </c>
      <c r="B86" s="32" t="s">
        <v>190</v>
      </c>
      <c r="C86" s="33" t="s">
        <v>237</v>
      </c>
      <c r="D86" s="33" t="s">
        <v>313</v>
      </c>
      <c r="E86" s="33" t="s">
        <v>370</v>
      </c>
      <c r="F86" s="32" t="s">
        <v>384</v>
      </c>
      <c r="G86" s="33" t="s">
        <v>399</v>
      </c>
      <c r="H86" s="32"/>
      <c r="I86" s="34">
        <v>865823991</v>
      </c>
      <c r="J86" s="34">
        <v>0</v>
      </c>
      <c r="K86" s="34">
        <v>0</v>
      </c>
      <c r="L86" s="34">
        <v>0</v>
      </c>
      <c r="M86" s="34">
        <v>0</v>
      </c>
      <c r="N86" s="34">
        <v>865823991</v>
      </c>
      <c r="O86" s="34">
        <v>0</v>
      </c>
      <c r="P86" s="34">
        <v>0</v>
      </c>
      <c r="Q86" s="34">
        <v>0</v>
      </c>
      <c r="R86" s="34">
        <v>0</v>
      </c>
      <c r="S86" s="34">
        <v>0</v>
      </c>
      <c r="T86" s="34">
        <v>865823991</v>
      </c>
      <c r="U86" s="35"/>
      <c r="V86" s="85"/>
      <c r="W86" s="17"/>
      <c r="X86" s="17" t="s">
        <v>716</v>
      </c>
      <c r="Y86" s="15"/>
      <c r="Z86" s="17"/>
      <c r="AA86" s="17" t="s">
        <v>716</v>
      </c>
      <c r="AB86" s="81"/>
      <c r="AC86" s="16" t="s">
        <v>716</v>
      </c>
      <c r="AD86" s="16" t="s">
        <v>848</v>
      </c>
      <c r="AE86" s="16" t="s">
        <v>855</v>
      </c>
      <c r="AF86" s="16" t="str">
        <f>_xlfn.CONCAT(EjecucionHaciendaDiciembre[[#This Row],[NOMBRE_RUBRO]]," - ",EjecucionHaciendaDiciembre[[#This Row],[NOMBRE_RECURSO]])</f>
        <v>Otras obras de ingeniería civil - 1.2.3.1.19 - ESTAMPILLAS PRO DESARROLLO INFR SANITARIA</v>
      </c>
      <c r="AH86" s="1"/>
      <c r="AI86" s="1"/>
      <c r="AJ86" s="1"/>
      <c r="AK86" s="1"/>
      <c r="AL86" s="1"/>
      <c r="AM86" s="1"/>
    </row>
    <row r="87" spans="1:39" ht="14.4" x14ac:dyDescent="0.3">
      <c r="A87" s="14" t="s">
        <v>70</v>
      </c>
      <c r="B87" s="14" t="s">
        <v>147</v>
      </c>
      <c r="C87" s="15"/>
      <c r="D87" s="15"/>
      <c r="E87" s="15"/>
      <c r="F87" s="14"/>
      <c r="G87" s="15"/>
      <c r="H87" s="14"/>
      <c r="I87" s="16">
        <v>9839379298</v>
      </c>
      <c r="J87" s="16">
        <v>6100000000</v>
      </c>
      <c r="K87" s="16">
        <v>0</v>
      </c>
      <c r="L87" s="16">
        <v>7751803981</v>
      </c>
      <c r="M87" s="16">
        <v>6550000000</v>
      </c>
      <c r="N87" s="16">
        <v>17141183279</v>
      </c>
      <c r="O87" s="16">
        <v>13837555769</v>
      </c>
      <c r="P87" s="16">
        <v>13837555769</v>
      </c>
      <c r="Q87" s="16">
        <v>11728458696.07</v>
      </c>
      <c r="R87" s="16">
        <v>933317897</v>
      </c>
      <c r="S87" s="16">
        <v>933317897</v>
      </c>
      <c r="T87" s="16">
        <v>3303627510</v>
      </c>
      <c r="U87" s="17"/>
      <c r="V87" s="86"/>
      <c r="W87" s="17"/>
      <c r="X87" s="17" t="s">
        <v>716</v>
      </c>
      <c r="Y87" s="15"/>
      <c r="Z87" s="17"/>
      <c r="AA87" s="17" t="s">
        <v>716</v>
      </c>
      <c r="AB87" s="81"/>
      <c r="AC87" s="16" t="s">
        <v>716</v>
      </c>
      <c r="AD87" s="16" t="s">
        <v>716</v>
      </c>
      <c r="AE87" s="16" t="s">
        <v>716</v>
      </c>
      <c r="AF87" s="16" t="str">
        <f>_xlfn.CONCAT(EjecucionHaciendaDiciembre[[#This Row],[NOMBRE_RUBRO]]," - ",EjecucionHaciendaDiciembre[[#This Row],[NOMBRE_RECURSO]])</f>
        <v xml:space="preserve">Maquinaria y equipo - </v>
      </c>
      <c r="AH87" s="1"/>
      <c r="AI87" s="1"/>
      <c r="AJ87" s="1"/>
      <c r="AK87" s="1"/>
      <c r="AL87" s="1"/>
      <c r="AM87" s="1"/>
    </row>
    <row r="88" spans="1:39" ht="14.4" x14ac:dyDescent="0.3">
      <c r="A88" s="14" t="s">
        <v>71</v>
      </c>
      <c r="B88" s="14" t="s">
        <v>191</v>
      </c>
      <c r="C88" s="15"/>
      <c r="D88" s="15"/>
      <c r="E88" s="15"/>
      <c r="F88" s="14"/>
      <c r="G88" s="15"/>
      <c r="H88" s="14"/>
      <c r="I88" s="16">
        <v>200000000</v>
      </c>
      <c r="J88" s="16">
        <v>0</v>
      </c>
      <c r="K88" s="16">
        <v>0</v>
      </c>
      <c r="L88" s="16">
        <v>733319698</v>
      </c>
      <c r="M88" s="16">
        <v>0</v>
      </c>
      <c r="N88" s="16">
        <v>933319698</v>
      </c>
      <c r="O88" s="16">
        <v>933319698</v>
      </c>
      <c r="P88" s="16">
        <v>933319698</v>
      </c>
      <c r="Q88" s="16">
        <v>933317897</v>
      </c>
      <c r="R88" s="16">
        <v>933317897</v>
      </c>
      <c r="S88" s="16">
        <v>933317897</v>
      </c>
      <c r="T88" s="16">
        <v>0</v>
      </c>
      <c r="U88" s="17"/>
      <c r="V88" s="86"/>
      <c r="W88" s="17"/>
      <c r="X88" s="17" t="s">
        <v>716</v>
      </c>
      <c r="Y88" s="15"/>
      <c r="Z88" s="17"/>
      <c r="AA88" s="17" t="s">
        <v>716</v>
      </c>
      <c r="AB88" s="81"/>
      <c r="AC88" s="16" t="s">
        <v>716</v>
      </c>
      <c r="AD88" s="16" t="s">
        <v>716</v>
      </c>
      <c r="AE88" s="16" t="s">
        <v>716</v>
      </c>
      <c r="AF88" s="16" t="str">
        <f>_xlfn.CONCAT(EjecucionHaciendaDiciembre[[#This Row],[NOMBRE_RUBRO]]," - ",EjecucionHaciendaDiciembre[[#This Row],[NOMBRE_RECURSO]])</f>
        <v xml:space="preserve">Maquinaria para usos especiales - </v>
      </c>
      <c r="AH88" s="1"/>
      <c r="AI88" s="1"/>
      <c r="AJ88" s="1"/>
      <c r="AK88" s="1"/>
      <c r="AL88" s="1"/>
      <c r="AM88" s="1"/>
    </row>
    <row r="89" spans="1:39" ht="115.2" x14ac:dyDescent="0.3">
      <c r="A89" s="3" t="s">
        <v>72</v>
      </c>
      <c r="B89" s="3" t="s">
        <v>192</v>
      </c>
      <c r="C89" s="2" t="s">
        <v>238</v>
      </c>
      <c r="D89" s="2" t="s">
        <v>314</v>
      </c>
      <c r="E89" s="2" t="s">
        <v>224</v>
      </c>
      <c r="F89" s="3" t="s">
        <v>378</v>
      </c>
      <c r="G89" s="2" t="s">
        <v>421</v>
      </c>
      <c r="H89" s="3" t="s">
        <v>567</v>
      </c>
      <c r="I89" s="4">
        <v>200000000</v>
      </c>
      <c r="J89" s="4">
        <v>0</v>
      </c>
      <c r="K89" s="4">
        <v>0</v>
      </c>
      <c r="L89" s="4">
        <v>0</v>
      </c>
      <c r="M89" s="4">
        <v>0</v>
      </c>
      <c r="N89" s="4">
        <v>200000000</v>
      </c>
      <c r="O89" s="4">
        <v>200000000</v>
      </c>
      <c r="P89" s="4">
        <v>200000000</v>
      </c>
      <c r="Q89" s="4">
        <v>199998206</v>
      </c>
      <c r="R89" s="4">
        <v>199998206</v>
      </c>
      <c r="S89" s="4">
        <v>199998206</v>
      </c>
      <c r="T89" s="4">
        <v>0</v>
      </c>
      <c r="U89" s="23" t="s">
        <v>568</v>
      </c>
      <c r="V89" s="31">
        <v>190303500</v>
      </c>
      <c r="W89" s="17" t="s">
        <v>789</v>
      </c>
      <c r="X89" s="17" t="s">
        <v>750</v>
      </c>
      <c r="Y89" s="15" t="s">
        <v>779</v>
      </c>
      <c r="Z89" s="17">
        <v>2024</v>
      </c>
      <c r="AA89" s="17" t="s">
        <v>716</v>
      </c>
      <c r="AB89" s="81">
        <v>2024</v>
      </c>
      <c r="AC89" s="16" t="s">
        <v>716</v>
      </c>
      <c r="AD89" s="16" t="s">
        <v>850</v>
      </c>
      <c r="AE89" s="16" t="s">
        <v>865</v>
      </c>
      <c r="AF89" s="16" t="str">
        <f>_xlfn.CONCAT(EjecucionHaciendaDiciembre[[#This Row],[NOMBRE_RUBRO]]," - ",EjecucionHaciendaDiciembre[[#This Row],[NOMBRE_RECURSO]])</f>
        <v>Otra maquinaria para usos especiales y sus partes y piezas - 1.2.4.2.02 - SGP-SALUD-SALUD PUBLICA</v>
      </c>
      <c r="AH89" s="1"/>
      <c r="AI89" s="1"/>
      <c r="AJ89" s="1"/>
      <c r="AK89" s="1"/>
      <c r="AL89" s="1"/>
      <c r="AM89" s="1"/>
    </row>
    <row r="90" spans="1:39" ht="43.2" x14ac:dyDescent="0.3">
      <c r="A90" s="3" t="s">
        <v>72</v>
      </c>
      <c r="B90" s="3" t="s">
        <v>192</v>
      </c>
      <c r="C90" s="2" t="s">
        <v>238</v>
      </c>
      <c r="D90" s="2" t="s">
        <v>314</v>
      </c>
      <c r="E90" s="2" t="s">
        <v>224</v>
      </c>
      <c r="F90" s="3" t="s">
        <v>378</v>
      </c>
      <c r="G90" s="2" t="s">
        <v>422</v>
      </c>
      <c r="H90" s="3" t="s">
        <v>569</v>
      </c>
      <c r="I90" s="4">
        <v>0</v>
      </c>
      <c r="J90" s="4">
        <v>0</v>
      </c>
      <c r="K90" s="4">
        <v>0</v>
      </c>
      <c r="L90" s="4">
        <v>733319698</v>
      </c>
      <c r="M90" s="4">
        <v>0</v>
      </c>
      <c r="N90" s="4">
        <v>733319698</v>
      </c>
      <c r="O90" s="4">
        <v>733319698</v>
      </c>
      <c r="P90" s="4">
        <v>733319698</v>
      </c>
      <c r="Q90" s="4">
        <v>733319691</v>
      </c>
      <c r="R90" s="4">
        <v>733319691</v>
      </c>
      <c r="S90" s="4">
        <v>733319691</v>
      </c>
      <c r="T90" s="4">
        <v>0</v>
      </c>
      <c r="U90" s="23" t="s">
        <v>568</v>
      </c>
      <c r="V90" s="31">
        <v>190303500</v>
      </c>
      <c r="W90" s="17" t="s">
        <v>789</v>
      </c>
      <c r="X90" s="17" t="s">
        <v>750</v>
      </c>
      <c r="Y90" s="15" t="s">
        <v>779</v>
      </c>
      <c r="Z90" s="17">
        <v>2024</v>
      </c>
      <c r="AA90" s="17" t="s">
        <v>716</v>
      </c>
      <c r="AB90" s="81">
        <v>2024</v>
      </c>
      <c r="AC90" s="16" t="s">
        <v>716</v>
      </c>
      <c r="AD90" s="16" t="s">
        <v>850</v>
      </c>
      <c r="AE90" s="16" t="s">
        <v>855</v>
      </c>
      <c r="AF90" s="16" t="str">
        <f>_xlfn.CONCAT(EjecucionHaciendaDiciembre[[#This Row],[NOMBRE_RUBRO]]," - ",EjecucionHaciendaDiciembre[[#This Row],[NOMBRE_RECURSO]])</f>
        <v>Otra maquinaria para usos especiales y sus partes y piezas - 1.2.4.2.02 - SGP-SALUD-SALUD PUBLICA</v>
      </c>
      <c r="AH90" s="1"/>
      <c r="AI90" s="1"/>
      <c r="AJ90" s="1"/>
      <c r="AK90" s="1"/>
      <c r="AL90" s="1"/>
      <c r="AM90" s="1"/>
    </row>
    <row r="91" spans="1:39" ht="28.8" x14ac:dyDescent="0.3">
      <c r="A91" s="14" t="s">
        <v>73</v>
      </c>
      <c r="B91" s="14" t="s">
        <v>148</v>
      </c>
      <c r="C91" s="15"/>
      <c r="D91" s="15"/>
      <c r="E91" s="15"/>
      <c r="F91" s="14"/>
      <c r="G91" s="15"/>
      <c r="H91" s="14"/>
      <c r="I91" s="16">
        <v>640000000</v>
      </c>
      <c r="J91" s="16">
        <v>0</v>
      </c>
      <c r="K91" s="16">
        <v>0</v>
      </c>
      <c r="L91" s="16">
        <v>286103194</v>
      </c>
      <c r="M91" s="16">
        <v>450000000</v>
      </c>
      <c r="N91" s="16">
        <v>476103194</v>
      </c>
      <c r="O91" s="16">
        <v>177803332</v>
      </c>
      <c r="P91" s="16">
        <v>177803332</v>
      </c>
      <c r="Q91" s="16">
        <v>158755972.06999999</v>
      </c>
      <c r="R91" s="16">
        <v>0</v>
      </c>
      <c r="S91" s="16">
        <v>0</v>
      </c>
      <c r="T91" s="16">
        <v>298299862</v>
      </c>
      <c r="U91" s="17"/>
      <c r="V91" s="86"/>
      <c r="W91" s="17"/>
      <c r="X91" s="17" t="s">
        <v>716</v>
      </c>
      <c r="Y91" s="15"/>
      <c r="Z91" s="17"/>
      <c r="AA91" s="17" t="s">
        <v>716</v>
      </c>
      <c r="AB91" s="81"/>
      <c r="AC91" s="16" t="s">
        <v>716</v>
      </c>
      <c r="AD91" s="16" t="s">
        <v>716</v>
      </c>
      <c r="AE91" s="16" t="s">
        <v>716</v>
      </c>
      <c r="AF91" s="16" t="str">
        <f>_xlfn.CONCAT(EjecucionHaciendaDiciembre[[#This Row],[NOMBRE_RUBRO]]," - ",EjecucionHaciendaDiciembre[[#This Row],[NOMBRE_RECURSO]])</f>
        <v xml:space="preserve">Maquinaria de oficina, contabilidad e informática - </v>
      </c>
      <c r="AH91" s="1"/>
      <c r="AI91" s="1"/>
      <c r="AJ91" s="1"/>
      <c r="AK91" s="1"/>
      <c r="AL91" s="1"/>
      <c r="AM91" s="1"/>
    </row>
    <row r="92" spans="1:39" ht="43.2" x14ac:dyDescent="0.3">
      <c r="A92" s="36" t="s">
        <v>74</v>
      </c>
      <c r="B92" s="36" t="s">
        <v>149</v>
      </c>
      <c r="C92" s="37" t="s">
        <v>238</v>
      </c>
      <c r="D92" s="37" t="s">
        <v>314</v>
      </c>
      <c r="E92" s="37" t="s">
        <v>224</v>
      </c>
      <c r="F92" s="36" t="s">
        <v>378</v>
      </c>
      <c r="G92" s="37" t="s">
        <v>399</v>
      </c>
      <c r="H92" s="36"/>
      <c r="I92" s="38">
        <v>40000000</v>
      </c>
      <c r="J92" s="38">
        <v>0</v>
      </c>
      <c r="K92" s="38">
        <v>0</v>
      </c>
      <c r="L92" s="38">
        <v>0</v>
      </c>
      <c r="M92" s="38">
        <v>40000000</v>
      </c>
      <c r="N92" s="38">
        <v>0</v>
      </c>
      <c r="O92" s="38">
        <v>0</v>
      </c>
      <c r="P92" s="38">
        <v>0</v>
      </c>
      <c r="Q92" s="38">
        <v>0</v>
      </c>
      <c r="R92" s="38">
        <v>0</v>
      </c>
      <c r="S92" s="38">
        <v>0</v>
      </c>
      <c r="T92" s="38">
        <v>0</v>
      </c>
      <c r="U92" s="39"/>
      <c r="V92" s="84"/>
      <c r="W92" s="17"/>
      <c r="X92" s="17" t="s">
        <v>716</v>
      </c>
      <c r="Y92" s="15"/>
      <c r="Z92" s="17"/>
      <c r="AA92" s="17" t="s">
        <v>716</v>
      </c>
      <c r="AB92" s="81"/>
      <c r="AC92" s="16" t="s">
        <v>716</v>
      </c>
      <c r="AD92" s="16" t="s">
        <v>850</v>
      </c>
      <c r="AE92" s="16" t="s">
        <v>855</v>
      </c>
      <c r="AF92" s="16" t="str">
        <f>_xlfn.CONCAT(EjecucionHaciendaDiciembre[[#This Row],[NOMBRE_RUBRO]]," - ",EjecucionHaciendaDiciembre[[#This Row],[NOMBRE_RECURSO]])</f>
        <v>Maquinaria de informática y sus partes, piezas y accesorios - 1.2.4.2.02 - SGP-SALUD-SALUD PUBLICA</v>
      </c>
      <c r="AH92" s="1"/>
      <c r="AI92" s="1"/>
      <c r="AJ92" s="1"/>
      <c r="AK92" s="1"/>
      <c r="AL92" s="1"/>
      <c r="AM92" s="1"/>
    </row>
    <row r="93" spans="1:39" ht="43.2" x14ac:dyDescent="0.3">
      <c r="A93" s="3" t="s">
        <v>74</v>
      </c>
      <c r="B93" s="3" t="s">
        <v>149</v>
      </c>
      <c r="C93" s="2" t="s">
        <v>238</v>
      </c>
      <c r="D93" s="2" t="s">
        <v>314</v>
      </c>
      <c r="E93" s="2" t="s">
        <v>224</v>
      </c>
      <c r="F93" s="3" t="s">
        <v>378</v>
      </c>
      <c r="G93" s="2" t="s">
        <v>422</v>
      </c>
      <c r="H93" s="3" t="s">
        <v>569</v>
      </c>
      <c r="I93" s="4">
        <v>0</v>
      </c>
      <c r="J93" s="4">
        <v>0</v>
      </c>
      <c r="K93" s="4">
        <v>0</v>
      </c>
      <c r="L93" s="4">
        <v>237988194</v>
      </c>
      <c r="M93" s="4">
        <v>0</v>
      </c>
      <c r="N93" s="4">
        <v>237988194</v>
      </c>
      <c r="O93" s="4">
        <v>129688332</v>
      </c>
      <c r="P93" s="4">
        <v>129688332</v>
      </c>
      <c r="Q93" s="4">
        <v>116958471.06999999</v>
      </c>
      <c r="R93" s="4">
        <v>0</v>
      </c>
      <c r="S93" s="4">
        <v>0</v>
      </c>
      <c r="T93" s="4">
        <v>108299862</v>
      </c>
      <c r="U93" s="23" t="s">
        <v>568</v>
      </c>
      <c r="V93" s="24">
        <v>190303500</v>
      </c>
      <c r="W93" s="17" t="s">
        <v>789</v>
      </c>
      <c r="X93" s="17" t="s">
        <v>750</v>
      </c>
      <c r="Y93" s="15" t="s">
        <v>779</v>
      </c>
      <c r="Z93" s="17">
        <v>2024</v>
      </c>
      <c r="AA93" s="17" t="s">
        <v>716</v>
      </c>
      <c r="AB93" s="81">
        <v>2024</v>
      </c>
      <c r="AC93" s="16" t="s">
        <v>716</v>
      </c>
      <c r="AD93" s="16" t="s">
        <v>850</v>
      </c>
      <c r="AE93" s="16" t="s">
        <v>855</v>
      </c>
      <c r="AF93" s="16" t="str">
        <f>_xlfn.CONCAT(EjecucionHaciendaDiciembre[[#This Row],[NOMBRE_RUBRO]]," - ",EjecucionHaciendaDiciembre[[#This Row],[NOMBRE_RECURSO]])</f>
        <v>Maquinaria de informática y sus partes, piezas y accesorios - 1.2.4.2.02 - SGP-SALUD-SALUD PUBLICA</v>
      </c>
      <c r="AH93" s="1"/>
      <c r="AI93" s="1"/>
      <c r="AJ93" s="1"/>
      <c r="AK93" s="1"/>
      <c r="AL93" s="1"/>
      <c r="AM93" s="1"/>
    </row>
    <row r="94" spans="1:39" ht="86.4" x14ac:dyDescent="0.3">
      <c r="A94" s="3" t="s">
        <v>74</v>
      </c>
      <c r="B94" s="3" t="s">
        <v>149</v>
      </c>
      <c r="C94" s="2" t="s">
        <v>233</v>
      </c>
      <c r="D94" s="2" t="s">
        <v>309</v>
      </c>
      <c r="E94" s="2" t="s">
        <v>371</v>
      </c>
      <c r="F94" s="3" t="s">
        <v>385</v>
      </c>
      <c r="G94" s="2" t="s">
        <v>423</v>
      </c>
      <c r="H94" s="3" t="s">
        <v>623</v>
      </c>
      <c r="I94" s="4">
        <v>0</v>
      </c>
      <c r="J94" s="4">
        <v>0</v>
      </c>
      <c r="K94" s="4">
        <v>0</v>
      </c>
      <c r="L94" s="4">
        <v>48115000</v>
      </c>
      <c r="M94" s="4">
        <v>0</v>
      </c>
      <c r="N94" s="4">
        <v>48115000</v>
      </c>
      <c r="O94" s="4">
        <v>48115000</v>
      </c>
      <c r="P94" s="4">
        <v>48115000</v>
      </c>
      <c r="Q94" s="4">
        <v>41797501</v>
      </c>
      <c r="R94" s="4">
        <v>0</v>
      </c>
      <c r="S94" s="4">
        <v>0</v>
      </c>
      <c r="T94" s="4">
        <v>0</v>
      </c>
      <c r="U94" s="23" t="s">
        <v>624</v>
      </c>
      <c r="V94" s="31">
        <v>459900200</v>
      </c>
      <c r="W94" s="17" t="s">
        <v>788</v>
      </c>
      <c r="X94" s="17" t="s">
        <v>749</v>
      </c>
      <c r="Y94" s="15" t="s">
        <v>781</v>
      </c>
      <c r="Z94" s="17" t="s">
        <v>780</v>
      </c>
      <c r="AA94" s="17" t="s">
        <v>833</v>
      </c>
      <c r="AB94" s="81" t="s">
        <v>780</v>
      </c>
      <c r="AC94" s="16" t="s">
        <v>716</v>
      </c>
      <c r="AD94" s="16" t="s">
        <v>848</v>
      </c>
      <c r="AE94" s="16" t="s">
        <v>855</v>
      </c>
      <c r="AF94" s="16" t="str">
        <f>_xlfn.CONCAT(EjecucionHaciendaDiciembre[[#This Row],[NOMBRE_RUBRO]]," - ",EjecucionHaciendaDiciembre[[#This Row],[NOMBRE_RECURSO]])</f>
        <v>Maquinaria de informática y sus partes, piezas y accesorios - 1.2.3.3.03 - APORTES NACION</v>
      </c>
      <c r="AH94" s="1"/>
      <c r="AI94" s="1"/>
      <c r="AJ94" s="1"/>
      <c r="AK94" s="1"/>
      <c r="AL94" s="1"/>
      <c r="AM94" s="1"/>
    </row>
    <row r="95" spans="1:39" ht="43.2" x14ac:dyDescent="0.3">
      <c r="A95" s="32" t="s">
        <v>74</v>
      </c>
      <c r="B95" s="32" t="s">
        <v>149</v>
      </c>
      <c r="C95" s="33" t="s">
        <v>239</v>
      </c>
      <c r="D95" s="33" t="s">
        <v>315</v>
      </c>
      <c r="E95" s="33" t="s">
        <v>244</v>
      </c>
      <c r="F95" s="32" t="s">
        <v>383</v>
      </c>
      <c r="G95" s="33" t="s">
        <v>399</v>
      </c>
      <c r="H95" s="32"/>
      <c r="I95" s="34">
        <v>600000000</v>
      </c>
      <c r="J95" s="34">
        <v>0</v>
      </c>
      <c r="K95" s="34">
        <v>0</v>
      </c>
      <c r="L95" s="34">
        <v>0</v>
      </c>
      <c r="M95" s="34">
        <v>410000000</v>
      </c>
      <c r="N95" s="34">
        <v>190000000</v>
      </c>
      <c r="O95" s="34">
        <v>0</v>
      </c>
      <c r="P95" s="34">
        <v>0</v>
      </c>
      <c r="Q95" s="34">
        <v>0</v>
      </c>
      <c r="R95" s="34">
        <v>0</v>
      </c>
      <c r="S95" s="34">
        <v>0</v>
      </c>
      <c r="T95" s="34">
        <v>190000000</v>
      </c>
      <c r="U95" s="35"/>
      <c r="V95" s="85"/>
      <c r="W95" s="17"/>
      <c r="X95" s="17" t="s">
        <v>716</v>
      </c>
      <c r="Y95" s="15"/>
      <c r="Z95" s="17"/>
      <c r="AA95" s="17" t="s">
        <v>716</v>
      </c>
      <c r="AB95" s="81"/>
      <c r="AC95" s="16" t="s">
        <v>716</v>
      </c>
      <c r="AD95" s="16" t="s">
        <v>848</v>
      </c>
      <c r="AE95" s="16" t="s">
        <v>855</v>
      </c>
      <c r="AF95" s="16" t="str">
        <f>_xlfn.CONCAT(EjecucionHaciendaDiciembre[[#This Row],[NOMBRE_RUBRO]]," - ",EjecucionHaciendaDiciembre[[#This Row],[NOMBRE_RECURSO]])</f>
        <v>Maquinaria de informática y sus partes, piezas y accesorios - 1.2.3.2.06-CONTRIBUCION SOBRE CONTRATOS DE OBRA PUBLICA</v>
      </c>
      <c r="AH95" s="1"/>
      <c r="AI95" s="1"/>
      <c r="AJ95" s="1"/>
      <c r="AK95" s="1"/>
      <c r="AL95" s="1"/>
      <c r="AM95" s="1"/>
    </row>
    <row r="96" spans="1:39" ht="28.8" x14ac:dyDescent="0.3">
      <c r="A96" s="14" t="s">
        <v>75</v>
      </c>
      <c r="B96" s="14" t="s">
        <v>150</v>
      </c>
      <c r="C96" s="15"/>
      <c r="D96" s="15"/>
      <c r="E96" s="15"/>
      <c r="F96" s="14"/>
      <c r="G96" s="15"/>
      <c r="H96" s="14"/>
      <c r="I96" s="16">
        <v>8150000000</v>
      </c>
      <c r="J96" s="16">
        <v>0</v>
      </c>
      <c r="K96" s="16">
        <v>0</v>
      </c>
      <c r="L96" s="16">
        <v>4650000000</v>
      </c>
      <c r="M96" s="16">
        <v>6100000000</v>
      </c>
      <c r="N96" s="16">
        <v>6700000000</v>
      </c>
      <c r="O96" s="16">
        <v>4544051650</v>
      </c>
      <c r="P96" s="16">
        <v>4544051650</v>
      </c>
      <c r="Q96" s="16">
        <v>2695805925</v>
      </c>
      <c r="R96" s="16">
        <v>0</v>
      </c>
      <c r="S96" s="16">
        <v>0</v>
      </c>
      <c r="T96" s="16">
        <v>2155948350</v>
      </c>
      <c r="U96" s="17"/>
      <c r="V96" s="86"/>
      <c r="W96" s="17"/>
      <c r="X96" s="17" t="s">
        <v>716</v>
      </c>
      <c r="Y96" s="15"/>
      <c r="Z96" s="17"/>
      <c r="AA96" s="17" t="s">
        <v>716</v>
      </c>
      <c r="AB96" s="81"/>
      <c r="AC96" s="16" t="s">
        <v>716</v>
      </c>
      <c r="AD96" s="16" t="s">
        <v>716</v>
      </c>
      <c r="AE96" s="16" t="s">
        <v>716</v>
      </c>
      <c r="AF96" s="16" t="str">
        <f>_xlfn.CONCAT(EjecucionHaciendaDiciembre[[#This Row],[NOMBRE_RUBRO]]," - ",EjecucionHaciendaDiciembre[[#This Row],[NOMBRE_RECURSO]])</f>
        <v xml:space="preserve">Equipo y aparatos de radio, televisión y comunicaciones - </v>
      </c>
      <c r="AH96" s="1"/>
      <c r="AI96" s="1"/>
      <c r="AJ96" s="1"/>
      <c r="AK96" s="1"/>
      <c r="AL96" s="1"/>
      <c r="AM96" s="1"/>
    </row>
    <row r="97" spans="1:39" ht="57.6" x14ac:dyDescent="0.3">
      <c r="A97" s="36" t="s">
        <v>76</v>
      </c>
      <c r="B97" s="36" t="s">
        <v>151</v>
      </c>
      <c r="C97" s="37" t="s">
        <v>239</v>
      </c>
      <c r="D97" s="37" t="s">
        <v>315</v>
      </c>
      <c r="E97" s="37" t="s">
        <v>244</v>
      </c>
      <c r="F97" s="36" t="s">
        <v>383</v>
      </c>
      <c r="G97" s="37" t="s">
        <v>399</v>
      </c>
      <c r="H97" s="36"/>
      <c r="I97" s="38">
        <v>2100000000</v>
      </c>
      <c r="J97" s="38">
        <v>0</v>
      </c>
      <c r="K97" s="38">
        <v>0</v>
      </c>
      <c r="L97" s="38">
        <v>0</v>
      </c>
      <c r="M97" s="38">
        <v>2100000000</v>
      </c>
      <c r="N97" s="38">
        <v>0</v>
      </c>
      <c r="O97" s="38">
        <v>0</v>
      </c>
      <c r="P97" s="38">
        <v>0</v>
      </c>
      <c r="Q97" s="38">
        <v>0</v>
      </c>
      <c r="R97" s="38">
        <v>0</v>
      </c>
      <c r="S97" s="38">
        <v>0</v>
      </c>
      <c r="T97" s="38">
        <v>0</v>
      </c>
      <c r="U97" s="39"/>
      <c r="V97" s="84"/>
      <c r="W97" s="17"/>
      <c r="X97" s="17" t="s">
        <v>716</v>
      </c>
      <c r="Y97" s="15"/>
      <c r="Z97" s="17"/>
      <c r="AA97" s="17" t="s">
        <v>716</v>
      </c>
      <c r="AB97" s="81"/>
      <c r="AC97" s="16" t="s">
        <v>716</v>
      </c>
      <c r="AD97" s="16" t="s">
        <v>848</v>
      </c>
      <c r="AE97" s="16" t="s">
        <v>855</v>
      </c>
      <c r="AF97" s="16" t="str">
        <f>_xlfn.CONCAT(EjecucionHaciendaDiciembre[[#This Row],[NOMBRE_RUBRO]]," - ",EjecucionHaciendaDiciembre[[#This Row],[NOMBRE_RECURSO]])</f>
        <v>Aparatos transmisores de televisión y radio; televisión, video y cámaras digitales; teléfonos - 1.2.3.2.06-CONTRIBUCION SOBRE CONTRATOS DE OBRA PUBLICA</v>
      </c>
      <c r="AH97" s="1"/>
      <c r="AI97" s="1"/>
      <c r="AJ97" s="1"/>
      <c r="AK97" s="1"/>
      <c r="AL97" s="1"/>
      <c r="AM97" s="1"/>
    </row>
    <row r="98" spans="1:39" ht="57.6" x14ac:dyDescent="0.3">
      <c r="A98" s="40" t="s">
        <v>76</v>
      </c>
      <c r="B98" s="40" t="s">
        <v>151</v>
      </c>
      <c r="C98" s="41" t="s">
        <v>239</v>
      </c>
      <c r="D98" s="41" t="s">
        <v>315</v>
      </c>
      <c r="E98" s="41" t="s">
        <v>244</v>
      </c>
      <c r="F98" s="40" t="s">
        <v>383</v>
      </c>
      <c r="G98" s="41" t="s">
        <v>424</v>
      </c>
      <c r="H98" s="40" t="s">
        <v>675</v>
      </c>
      <c r="I98" s="42">
        <v>0</v>
      </c>
      <c r="J98" s="42">
        <v>0</v>
      </c>
      <c r="K98" s="42">
        <v>0</v>
      </c>
      <c r="L98" s="42">
        <v>650000000</v>
      </c>
      <c r="M98" s="42">
        <v>0</v>
      </c>
      <c r="N98" s="42">
        <v>650000000</v>
      </c>
      <c r="O98" s="42">
        <v>650000000</v>
      </c>
      <c r="P98" s="43">
        <v>650000000</v>
      </c>
      <c r="Q98" s="42">
        <v>0</v>
      </c>
      <c r="R98" s="42">
        <v>0</v>
      </c>
      <c r="S98" s="42">
        <v>0</v>
      </c>
      <c r="T98" s="42">
        <v>0</v>
      </c>
      <c r="U98" s="44" t="s">
        <v>676</v>
      </c>
      <c r="V98" s="45">
        <v>450105200</v>
      </c>
      <c r="W98" s="17" t="s">
        <v>723</v>
      </c>
      <c r="X98" s="17" t="s">
        <v>753</v>
      </c>
      <c r="Y98" s="15" t="s">
        <v>781</v>
      </c>
      <c r="Z98" s="17">
        <v>2025</v>
      </c>
      <c r="AA98" s="17" t="s">
        <v>716</v>
      </c>
      <c r="AB98" s="81">
        <v>2025</v>
      </c>
      <c r="AC98" s="16" t="s">
        <v>716</v>
      </c>
      <c r="AD98" s="16" t="s">
        <v>848</v>
      </c>
      <c r="AE98" s="16" t="s">
        <v>855</v>
      </c>
      <c r="AF98" s="16" t="str">
        <f>_xlfn.CONCAT(EjecucionHaciendaDiciembre[[#This Row],[NOMBRE_RUBRO]]," - ",EjecucionHaciendaDiciembre[[#This Row],[NOMBRE_RECURSO]])</f>
        <v>Aparatos transmisores de televisión y radio; televisión, video y cámaras digitales; teléfonos - 1.2.3.2.06-CONTRIBUCION SOBRE CONTRATOS DE OBRA PUBLICA</v>
      </c>
      <c r="AH98" s="1"/>
      <c r="AI98" s="1"/>
      <c r="AJ98" s="1"/>
      <c r="AK98" s="1"/>
      <c r="AL98" s="1"/>
      <c r="AM98" s="1"/>
    </row>
    <row r="99" spans="1:39" ht="86.4" x14ac:dyDescent="0.3">
      <c r="A99" s="32" t="s">
        <v>77</v>
      </c>
      <c r="B99" s="32" t="s">
        <v>193</v>
      </c>
      <c r="C99" s="33" t="s">
        <v>239</v>
      </c>
      <c r="D99" s="33" t="s">
        <v>315</v>
      </c>
      <c r="E99" s="33" t="s">
        <v>244</v>
      </c>
      <c r="F99" s="32" t="s">
        <v>383</v>
      </c>
      <c r="G99" s="33" t="s">
        <v>399</v>
      </c>
      <c r="H99" s="32"/>
      <c r="I99" s="34">
        <v>1532333542</v>
      </c>
      <c r="J99" s="34">
        <v>0</v>
      </c>
      <c r="K99" s="34">
        <v>0</v>
      </c>
      <c r="L99" s="34">
        <v>0</v>
      </c>
      <c r="M99" s="34">
        <v>0</v>
      </c>
      <c r="N99" s="34">
        <v>1532333542</v>
      </c>
      <c r="O99" s="34">
        <v>0</v>
      </c>
      <c r="P99" s="34">
        <v>0</v>
      </c>
      <c r="Q99" s="34">
        <v>0</v>
      </c>
      <c r="R99" s="34">
        <v>0</v>
      </c>
      <c r="S99" s="34">
        <v>0</v>
      </c>
      <c r="T99" s="34">
        <v>1532333542</v>
      </c>
      <c r="U99" s="35"/>
      <c r="V99" s="85"/>
      <c r="W99" s="17"/>
      <c r="X99" s="17" t="s">
        <v>716</v>
      </c>
      <c r="Y99" s="15"/>
      <c r="Z99" s="17"/>
      <c r="AA99" s="17" t="s">
        <v>716</v>
      </c>
      <c r="AB99" s="81"/>
      <c r="AC99" s="16" t="s">
        <v>716</v>
      </c>
      <c r="AD99" s="16" t="s">
        <v>848</v>
      </c>
      <c r="AE99" s="16" t="s">
        <v>855</v>
      </c>
      <c r="AF99" s="16" t="str">
        <f>_xlfn.CONCAT(EjecucionHaciendaDiciembre[[#This Row],[NOMBRE_RUBRO]]," - ",EjecucionHaciendaDiciembre[[#This Row],[NOMBRE_RECURSO]])</f>
        <v>RADIORRECEPTORES Y RECEPTORES DE TELEVISION APARATOS PARA LA GRABACION Y REPRODUCCION DE SONIDO Y VIDEO, MICROFONOS, ALTAVOCES, AMPLIFICADORES, ETC - 1.2.3.2.06-CONTRIBUCION SOBRE CONTRATOS DE OBRA PUBLICA</v>
      </c>
      <c r="AH99" s="1"/>
      <c r="AI99" s="1"/>
      <c r="AJ99" s="1"/>
      <c r="AK99" s="1"/>
      <c r="AL99" s="1"/>
      <c r="AM99" s="1"/>
    </row>
    <row r="100" spans="1:39" ht="72" x14ac:dyDescent="0.3">
      <c r="A100" s="32" t="s">
        <v>77</v>
      </c>
      <c r="B100" s="32" t="s">
        <v>193</v>
      </c>
      <c r="C100" s="33" t="s">
        <v>240</v>
      </c>
      <c r="D100" s="33" t="s">
        <v>316</v>
      </c>
      <c r="E100" s="33" t="s">
        <v>244</v>
      </c>
      <c r="F100" s="32" t="s">
        <v>383</v>
      </c>
      <c r="G100" s="33" t="s">
        <v>399</v>
      </c>
      <c r="H100" s="32"/>
      <c r="I100" s="34">
        <v>4517666458</v>
      </c>
      <c r="J100" s="34">
        <v>0</v>
      </c>
      <c r="K100" s="34">
        <v>0</v>
      </c>
      <c r="L100" s="34">
        <v>0</v>
      </c>
      <c r="M100" s="34">
        <v>4000000000</v>
      </c>
      <c r="N100" s="34">
        <v>517666458</v>
      </c>
      <c r="O100" s="34">
        <v>0</v>
      </c>
      <c r="P100" s="34">
        <v>0</v>
      </c>
      <c r="Q100" s="34">
        <v>0</v>
      </c>
      <c r="R100" s="34">
        <v>0</v>
      </c>
      <c r="S100" s="34">
        <v>0</v>
      </c>
      <c r="T100" s="34">
        <v>517666458</v>
      </c>
      <c r="U100" s="35"/>
      <c r="V100" s="85"/>
      <c r="W100" s="17"/>
      <c r="X100" s="17" t="s">
        <v>716</v>
      </c>
      <c r="Y100" s="15"/>
      <c r="Z100" s="17"/>
      <c r="AA100" s="17" t="s">
        <v>716</v>
      </c>
      <c r="AB100" s="81"/>
      <c r="AC100" s="16" t="s">
        <v>716</v>
      </c>
      <c r="AD100" s="16" t="s">
        <v>848</v>
      </c>
      <c r="AE100" s="16" t="s">
        <v>855</v>
      </c>
      <c r="AF100" s="16" t="str">
        <f>_xlfn.CONCAT(EjecucionHaciendaDiciembre[[#This Row],[NOMBRE_RUBRO]]," - ",EjecucionHaciendaDiciembre[[#This Row],[NOMBRE_RECURSO]])</f>
        <v>RADIORRECEPTORES Y RECEPTORES DE TELEVISION APARATOS PARA LA GRABACION Y REPRODUCCION DE SONIDO Y VIDEO, MICROFONOS, ALTAVOCES, AMPLIFICADORES, ETC - 1.2.3.1.15-SOBRETASA FONDO DE SEGURIDAD</v>
      </c>
      <c r="AH100" s="1"/>
      <c r="AI100" s="1"/>
      <c r="AJ100" s="1"/>
      <c r="AK100" s="1"/>
      <c r="AL100" s="1"/>
      <c r="AM100" s="1"/>
    </row>
    <row r="101" spans="1:39" ht="72" x14ac:dyDescent="0.3">
      <c r="A101" s="3" t="s">
        <v>77</v>
      </c>
      <c r="B101" s="3" t="s">
        <v>193</v>
      </c>
      <c r="C101" s="2" t="s">
        <v>240</v>
      </c>
      <c r="D101" s="2" t="s">
        <v>316</v>
      </c>
      <c r="E101" s="2" t="s">
        <v>244</v>
      </c>
      <c r="F101" s="3" t="s">
        <v>383</v>
      </c>
      <c r="G101" s="47" t="s">
        <v>425</v>
      </c>
      <c r="H101" s="3" t="s">
        <v>677</v>
      </c>
      <c r="I101" s="4">
        <v>0</v>
      </c>
      <c r="J101" s="4">
        <v>0</v>
      </c>
      <c r="K101" s="4">
        <v>0</v>
      </c>
      <c r="L101" s="4">
        <v>4000000000</v>
      </c>
      <c r="M101" s="4">
        <v>0</v>
      </c>
      <c r="N101" s="4">
        <v>4000000000</v>
      </c>
      <c r="O101" s="4">
        <v>3894051650</v>
      </c>
      <c r="P101" s="4">
        <v>3894051650</v>
      </c>
      <c r="Q101" s="4">
        <v>2695805925</v>
      </c>
      <c r="R101" s="4">
        <v>0</v>
      </c>
      <c r="S101" s="4">
        <v>0</v>
      </c>
      <c r="T101" s="4">
        <v>105948350</v>
      </c>
      <c r="U101" s="23" t="s">
        <v>678</v>
      </c>
      <c r="V101" s="31">
        <v>450102900</v>
      </c>
      <c r="W101" s="17" t="s">
        <v>788</v>
      </c>
      <c r="X101" s="17" t="s">
        <v>751</v>
      </c>
      <c r="Y101" s="15" t="s">
        <v>781</v>
      </c>
      <c r="Z101" s="17">
        <v>2025</v>
      </c>
      <c r="AA101" s="17" t="s">
        <v>716</v>
      </c>
      <c r="AB101" s="81">
        <v>2025</v>
      </c>
      <c r="AC101" s="16" t="s">
        <v>716</v>
      </c>
      <c r="AD101" s="16" t="s">
        <v>848</v>
      </c>
      <c r="AE101" s="16" t="s">
        <v>855</v>
      </c>
      <c r="AF101" s="16" t="str">
        <f>_xlfn.CONCAT(EjecucionHaciendaDiciembre[[#This Row],[NOMBRE_RUBRO]]," - ",EjecucionHaciendaDiciembre[[#This Row],[NOMBRE_RECURSO]])</f>
        <v>RADIORRECEPTORES Y RECEPTORES DE TELEVISION APARATOS PARA LA GRABACION Y REPRODUCCION DE SONIDO Y VIDEO, MICROFONOS, ALTAVOCES, AMPLIFICADORES, ETC - 1.2.3.1.15-SOBRETASA FONDO DE SEGURIDAD</v>
      </c>
      <c r="AH101" s="1"/>
      <c r="AI101" s="1"/>
      <c r="AJ101" s="1"/>
      <c r="AK101" s="1"/>
      <c r="AL101" s="1"/>
      <c r="AM101" s="1"/>
    </row>
    <row r="102" spans="1:39" ht="14.4" x14ac:dyDescent="0.3">
      <c r="A102" s="14" t="s">
        <v>78</v>
      </c>
      <c r="B102" s="14" t="s">
        <v>152</v>
      </c>
      <c r="C102" s="15"/>
      <c r="D102" s="15"/>
      <c r="E102" s="15"/>
      <c r="F102" s="14"/>
      <c r="G102" s="15"/>
      <c r="H102" s="14"/>
      <c r="I102" s="16">
        <v>849379298</v>
      </c>
      <c r="J102" s="16">
        <v>6100000000</v>
      </c>
      <c r="K102" s="16">
        <v>0</v>
      </c>
      <c r="L102" s="16">
        <v>2082381089</v>
      </c>
      <c r="M102" s="16">
        <v>0</v>
      </c>
      <c r="N102" s="16">
        <v>9031760387</v>
      </c>
      <c r="O102" s="16">
        <v>8182381089</v>
      </c>
      <c r="P102" s="16">
        <v>8182381089</v>
      </c>
      <c r="Q102" s="16">
        <v>7940578902</v>
      </c>
      <c r="R102" s="16">
        <v>0</v>
      </c>
      <c r="S102" s="16">
        <v>0</v>
      </c>
      <c r="T102" s="16">
        <v>849379298</v>
      </c>
      <c r="U102" s="17"/>
      <c r="V102" s="86"/>
      <c r="W102" s="17"/>
      <c r="X102" s="17" t="s">
        <v>716</v>
      </c>
      <c r="Y102" s="15"/>
      <c r="Z102" s="17"/>
      <c r="AA102" s="17" t="s">
        <v>716</v>
      </c>
      <c r="AB102" s="81"/>
      <c r="AC102" s="16" t="s">
        <v>716</v>
      </c>
      <c r="AD102" s="16" t="s">
        <v>716</v>
      </c>
      <c r="AE102" s="16" t="s">
        <v>716</v>
      </c>
      <c r="AF102" s="16" t="str">
        <f>_xlfn.CONCAT(EjecucionHaciendaDiciembre[[#This Row],[NOMBRE_RUBRO]]," - ",EjecucionHaciendaDiciembre[[#This Row],[NOMBRE_RECURSO]])</f>
        <v xml:space="preserve">Equipo de transporte - </v>
      </c>
      <c r="AH102" s="1"/>
      <c r="AI102" s="1"/>
      <c r="AJ102" s="1"/>
      <c r="AK102" s="1"/>
      <c r="AL102" s="1"/>
      <c r="AM102" s="1"/>
    </row>
    <row r="103" spans="1:39" ht="86.4" x14ac:dyDescent="0.3">
      <c r="A103" s="3" t="s">
        <v>79</v>
      </c>
      <c r="B103" s="3" t="s">
        <v>153</v>
      </c>
      <c r="C103" s="2" t="s">
        <v>233</v>
      </c>
      <c r="D103" s="2" t="s">
        <v>309</v>
      </c>
      <c r="E103" s="2" t="s">
        <v>371</v>
      </c>
      <c r="F103" s="3" t="s">
        <v>385</v>
      </c>
      <c r="G103" s="2" t="s">
        <v>423</v>
      </c>
      <c r="H103" s="3" t="s">
        <v>623</v>
      </c>
      <c r="I103" s="4">
        <v>0</v>
      </c>
      <c r="J103" s="4">
        <v>0</v>
      </c>
      <c r="K103" s="4">
        <v>0</v>
      </c>
      <c r="L103" s="4">
        <v>222381089</v>
      </c>
      <c r="M103" s="4">
        <v>0</v>
      </c>
      <c r="N103" s="4">
        <v>222381089</v>
      </c>
      <c r="O103" s="4">
        <v>222381089</v>
      </c>
      <c r="P103" s="4">
        <v>222381089</v>
      </c>
      <c r="Q103" s="4">
        <v>222381089</v>
      </c>
      <c r="R103" s="4">
        <v>0</v>
      </c>
      <c r="S103" s="4">
        <v>0</v>
      </c>
      <c r="T103" s="4">
        <v>0</v>
      </c>
      <c r="U103" s="23" t="s">
        <v>624</v>
      </c>
      <c r="V103" s="31">
        <v>459900200</v>
      </c>
      <c r="W103" s="17" t="s">
        <v>788</v>
      </c>
      <c r="X103" s="17" t="s">
        <v>749</v>
      </c>
      <c r="Y103" s="15" t="s">
        <v>781</v>
      </c>
      <c r="Z103" s="17" t="s">
        <v>780</v>
      </c>
      <c r="AA103" s="17" t="s">
        <v>833</v>
      </c>
      <c r="AB103" s="81" t="s">
        <v>780</v>
      </c>
      <c r="AC103" s="16" t="s">
        <v>716</v>
      </c>
      <c r="AD103" s="16" t="s">
        <v>848</v>
      </c>
      <c r="AE103" s="16" t="s">
        <v>855</v>
      </c>
      <c r="AF103" s="16" t="str">
        <f>_xlfn.CONCAT(EjecucionHaciendaDiciembre[[#This Row],[NOMBRE_RUBRO]]," - ",EjecucionHaciendaDiciembre[[#This Row],[NOMBRE_RECURSO]])</f>
        <v>Vehículos automotores, remolques y semirremolques; y sus partes, piezas y accesorios - 1.2.3.3.03 - APORTES NACION</v>
      </c>
      <c r="AH103" s="1"/>
      <c r="AI103" s="1"/>
      <c r="AJ103" s="1"/>
      <c r="AK103" s="1"/>
      <c r="AL103" s="1"/>
      <c r="AM103" s="1"/>
    </row>
    <row r="104" spans="1:39" ht="57.6" x14ac:dyDescent="0.3">
      <c r="A104" s="3" t="s">
        <v>79</v>
      </c>
      <c r="B104" s="3" t="s">
        <v>153</v>
      </c>
      <c r="C104" s="2" t="s">
        <v>241</v>
      </c>
      <c r="D104" s="2" t="s">
        <v>317</v>
      </c>
      <c r="E104" s="2" t="s">
        <v>244</v>
      </c>
      <c r="F104" s="3" t="s">
        <v>383</v>
      </c>
      <c r="G104" s="47" t="s">
        <v>426</v>
      </c>
      <c r="H104" s="3" t="s">
        <v>679</v>
      </c>
      <c r="I104" s="4">
        <v>0</v>
      </c>
      <c r="J104" s="4">
        <v>4130713707</v>
      </c>
      <c r="K104" s="4">
        <v>0</v>
      </c>
      <c r="L104" s="4">
        <v>0</v>
      </c>
      <c r="M104" s="4">
        <v>0</v>
      </c>
      <c r="N104" s="4">
        <v>4130713707</v>
      </c>
      <c r="O104" s="4">
        <v>4130713707</v>
      </c>
      <c r="P104" s="4">
        <v>4130713707</v>
      </c>
      <c r="Q104" s="4">
        <v>4069457052</v>
      </c>
      <c r="R104" s="4">
        <v>0</v>
      </c>
      <c r="S104" s="4">
        <v>0</v>
      </c>
      <c r="T104" s="4">
        <v>0</v>
      </c>
      <c r="U104" s="23" t="s">
        <v>680</v>
      </c>
      <c r="V104" s="31">
        <v>450107900</v>
      </c>
      <c r="W104" s="17" t="s">
        <v>815</v>
      </c>
      <c r="X104" s="17" t="s">
        <v>749</v>
      </c>
      <c r="Y104" s="15" t="s">
        <v>781</v>
      </c>
      <c r="Z104" s="17">
        <v>2025</v>
      </c>
      <c r="AA104" s="17" t="s">
        <v>716</v>
      </c>
      <c r="AB104" s="81">
        <v>2025</v>
      </c>
      <c r="AC104" s="16" t="s">
        <v>716</v>
      </c>
      <c r="AD104" s="16" t="s">
        <v>848</v>
      </c>
      <c r="AE104" s="16" t="s">
        <v>855</v>
      </c>
      <c r="AF104" s="16" t="str">
        <f>_xlfn.CONCAT(EjecucionHaciendaDiciembre[[#This Row],[NOMBRE_RUBRO]]," - ",EjecucionHaciendaDiciembre[[#This Row],[NOMBRE_RECURSO]])</f>
        <v>Vehículos automotores, remolques y semirremolques; y sus partes, piezas y accesorios - 1.3.3.4.01-R.B. CONTRIBUCION SOBRE CONTRATOS DE OBRA PUBLICA</v>
      </c>
      <c r="AH104" s="1"/>
      <c r="AI104" s="1"/>
      <c r="AJ104" s="1"/>
      <c r="AK104" s="1"/>
      <c r="AL104" s="1"/>
      <c r="AM104" s="1"/>
    </row>
    <row r="105" spans="1:39" ht="57.6" x14ac:dyDescent="0.3">
      <c r="A105" s="32" t="s">
        <v>79</v>
      </c>
      <c r="B105" s="32" t="s">
        <v>153</v>
      </c>
      <c r="C105" s="33" t="s">
        <v>239</v>
      </c>
      <c r="D105" s="33" t="s">
        <v>315</v>
      </c>
      <c r="E105" s="33" t="s">
        <v>244</v>
      </c>
      <c r="F105" s="32" t="s">
        <v>383</v>
      </c>
      <c r="G105" s="33" t="s">
        <v>399</v>
      </c>
      <c r="H105" s="32"/>
      <c r="I105" s="34">
        <v>849379298</v>
      </c>
      <c r="J105" s="34">
        <v>0</v>
      </c>
      <c r="K105" s="34">
        <v>0</v>
      </c>
      <c r="L105" s="34">
        <v>0</v>
      </c>
      <c r="M105" s="34">
        <v>0</v>
      </c>
      <c r="N105" s="34">
        <v>849379298</v>
      </c>
      <c r="O105" s="34">
        <v>0</v>
      </c>
      <c r="P105" s="34">
        <v>0</v>
      </c>
      <c r="Q105" s="34">
        <v>0</v>
      </c>
      <c r="R105" s="34">
        <v>0</v>
      </c>
      <c r="S105" s="34">
        <v>0</v>
      </c>
      <c r="T105" s="34">
        <v>849379298</v>
      </c>
      <c r="U105" s="35"/>
      <c r="V105" s="85"/>
      <c r="W105" s="17"/>
      <c r="X105" s="17" t="s">
        <v>716</v>
      </c>
      <c r="Y105" s="15"/>
      <c r="Z105" s="17"/>
      <c r="AA105" s="17" t="s">
        <v>716</v>
      </c>
      <c r="AB105" s="81"/>
      <c r="AC105" s="16" t="s">
        <v>716</v>
      </c>
      <c r="AD105" s="16" t="s">
        <v>848</v>
      </c>
      <c r="AE105" s="16" t="s">
        <v>855</v>
      </c>
      <c r="AF105" s="16" t="str">
        <f>_xlfn.CONCAT(EjecucionHaciendaDiciembre[[#This Row],[NOMBRE_RUBRO]]," - ",EjecucionHaciendaDiciembre[[#This Row],[NOMBRE_RECURSO]])</f>
        <v>Vehículos automotores, remolques y semirremolques; y sus partes, piezas y accesorios - 1.2.3.2.06-CONTRIBUCION SOBRE CONTRATOS DE OBRA PUBLICA</v>
      </c>
      <c r="AH105" s="1"/>
      <c r="AI105" s="1"/>
      <c r="AJ105" s="1"/>
      <c r="AK105" s="1"/>
      <c r="AL105" s="1"/>
      <c r="AM105" s="1"/>
    </row>
    <row r="106" spans="1:39" ht="57.6" x14ac:dyDescent="0.3">
      <c r="A106" s="3" t="s">
        <v>79</v>
      </c>
      <c r="B106" s="3" t="s">
        <v>153</v>
      </c>
      <c r="C106" s="2" t="s">
        <v>228</v>
      </c>
      <c r="D106" s="2" t="s">
        <v>304</v>
      </c>
      <c r="E106" s="2" t="s">
        <v>244</v>
      </c>
      <c r="F106" s="3" t="s">
        <v>383</v>
      </c>
      <c r="G106" s="47" t="s">
        <v>426</v>
      </c>
      <c r="H106" s="3" t="s">
        <v>679</v>
      </c>
      <c r="I106" s="4">
        <v>0</v>
      </c>
      <c r="J106" s="4">
        <v>419391351</v>
      </c>
      <c r="K106" s="4">
        <v>0</v>
      </c>
      <c r="L106" s="4">
        <v>0</v>
      </c>
      <c r="M106" s="4">
        <v>0</v>
      </c>
      <c r="N106" s="4">
        <v>419391351</v>
      </c>
      <c r="O106" s="4">
        <v>419391351</v>
      </c>
      <c r="P106" s="4">
        <v>419391351</v>
      </c>
      <c r="Q106" s="4">
        <v>419391351</v>
      </c>
      <c r="R106" s="4">
        <v>0</v>
      </c>
      <c r="S106" s="4">
        <v>0</v>
      </c>
      <c r="T106" s="4">
        <v>0</v>
      </c>
      <c r="U106" s="23" t="s">
        <v>680</v>
      </c>
      <c r="V106" s="31">
        <v>450107900</v>
      </c>
      <c r="W106" s="17" t="s">
        <v>815</v>
      </c>
      <c r="X106" s="17" t="s">
        <v>749</v>
      </c>
      <c r="Y106" s="15" t="s">
        <v>781</v>
      </c>
      <c r="Z106" s="17">
        <v>2025</v>
      </c>
      <c r="AA106" s="17" t="s">
        <v>716</v>
      </c>
      <c r="AB106" s="81">
        <v>2025</v>
      </c>
      <c r="AC106" s="16" t="s">
        <v>716</v>
      </c>
      <c r="AD106" s="16" t="s">
        <v>848</v>
      </c>
      <c r="AE106" s="16" t="s">
        <v>855</v>
      </c>
      <c r="AF106" s="16" t="str">
        <f>_xlfn.CONCAT(EjecucionHaciendaDiciembre[[#This Row],[NOMBRE_RUBRO]]," - ",EjecucionHaciendaDiciembre[[#This Row],[NOMBRE_RECURSO]])</f>
        <v>Vehículos automotores, remolques y semirremolques; y sus partes, piezas y accesorios - 1.3.3.4.01-R.B. SOBRETASA FONDO DE SEGURIDAD</v>
      </c>
      <c r="AH106" s="1"/>
      <c r="AI106" s="1"/>
      <c r="AJ106" s="1"/>
      <c r="AK106" s="1"/>
      <c r="AL106" s="1"/>
      <c r="AM106" s="1"/>
    </row>
    <row r="107" spans="1:39" ht="57.6" x14ac:dyDescent="0.3">
      <c r="A107" s="3" t="s">
        <v>79</v>
      </c>
      <c r="B107" s="3" t="s">
        <v>153</v>
      </c>
      <c r="C107" s="2" t="s">
        <v>242</v>
      </c>
      <c r="D107" s="2" t="s">
        <v>318</v>
      </c>
      <c r="E107" s="2" t="s">
        <v>244</v>
      </c>
      <c r="F107" s="3" t="s">
        <v>383</v>
      </c>
      <c r="G107" s="47" t="s">
        <v>426</v>
      </c>
      <c r="H107" s="3" t="s">
        <v>679</v>
      </c>
      <c r="I107" s="4">
        <v>0</v>
      </c>
      <c r="J107" s="4">
        <v>429440247</v>
      </c>
      <c r="K107" s="4">
        <v>0</v>
      </c>
      <c r="L107" s="4">
        <v>0</v>
      </c>
      <c r="M107" s="4">
        <v>0</v>
      </c>
      <c r="N107" s="4">
        <v>429440247</v>
      </c>
      <c r="O107" s="4">
        <v>429440247</v>
      </c>
      <c r="P107" s="4">
        <v>429440247</v>
      </c>
      <c r="Q107" s="4">
        <v>248894715</v>
      </c>
      <c r="R107" s="4">
        <v>0</v>
      </c>
      <c r="S107" s="4">
        <v>0</v>
      </c>
      <c r="T107" s="4">
        <v>0</v>
      </c>
      <c r="U107" s="23" t="s">
        <v>680</v>
      </c>
      <c r="V107" s="31">
        <v>450107900</v>
      </c>
      <c r="W107" s="17" t="s">
        <v>815</v>
      </c>
      <c r="X107" s="17" t="s">
        <v>749</v>
      </c>
      <c r="Y107" s="15" t="s">
        <v>781</v>
      </c>
      <c r="Z107" s="17">
        <v>2025</v>
      </c>
      <c r="AA107" s="17" t="s">
        <v>716</v>
      </c>
      <c r="AB107" s="81">
        <v>2025</v>
      </c>
      <c r="AC107" s="16" t="s">
        <v>716</v>
      </c>
      <c r="AD107" s="16" t="s">
        <v>848</v>
      </c>
      <c r="AE107" s="16" t="s">
        <v>855</v>
      </c>
      <c r="AF107" s="16" t="str">
        <f>_xlfn.CONCAT(EjecucionHaciendaDiciembre[[#This Row],[NOMBRE_RUBRO]]," - ",EjecucionHaciendaDiciembre[[#This Row],[NOMBRE_RECURSO]])</f>
        <v>Vehículos automotores, remolques y semirremolques; y sus partes, piezas y accesorios - 1.3.2.3.11-R.F. SOBRETASA FONDO DE SEGURIDAD</v>
      </c>
      <c r="AH107" s="1"/>
      <c r="AI107" s="1"/>
      <c r="AJ107" s="1"/>
      <c r="AK107" s="1"/>
      <c r="AL107" s="1"/>
      <c r="AM107" s="1"/>
    </row>
    <row r="108" spans="1:39" ht="57.6" x14ac:dyDescent="0.3">
      <c r="A108" s="3" t="s">
        <v>79</v>
      </c>
      <c r="B108" s="3" t="s">
        <v>153</v>
      </c>
      <c r="C108" s="2" t="s">
        <v>243</v>
      </c>
      <c r="D108" s="2" t="s">
        <v>319</v>
      </c>
      <c r="E108" s="2" t="s">
        <v>244</v>
      </c>
      <c r="F108" s="3" t="s">
        <v>383</v>
      </c>
      <c r="G108" s="47" t="s">
        <v>426</v>
      </c>
      <c r="H108" s="3" t="s">
        <v>679</v>
      </c>
      <c r="I108" s="4">
        <v>0</v>
      </c>
      <c r="J108" s="4">
        <v>1120454695</v>
      </c>
      <c r="K108" s="4">
        <v>0</v>
      </c>
      <c r="L108" s="4">
        <v>0</v>
      </c>
      <c r="M108" s="4">
        <v>0</v>
      </c>
      <c r="N108" s="4">
        <v>1120454695</v>
      </c>
      <c r="O108" s="4">
        <v>1120454695</v>
      </c>
      <c r="P108" s="4">
        <v>1120454695</v>
      </c>
      <c r="Q108" s="4">
        <v>1120454695</v>
      </c>
      <c r="R108" s="4">
        <v>0</v>
      </c>
      <c r="S108" s="4">
        <v>0</v>
      </c>
      <c r="T108" s="4">
        <v>0</v>
      </c>
      <c r="U108" s="23" t="s">
        <v>680</v>
      </c>
      <c r="V108" s="31">
        <v>450107900</v>
      </c>
      <c r="W108" s="17" t="s">
        <v>815</v>
      </c>
      <c r="X108" s="17" t="s">
        <v>749</v>
      </c>
      <c r="Y108" s="15" t="s">
        <v>781</v>
      </c>
      <c r="Z108" s="17">
        <v>2025</v>
      </c>
      <c r="AA108" s="17" t="s">
        <v>716</v>
      </c>
      <c r="AB108" s="81">
        <v>2025</v>
      </c>
      <c r="AC108" s="16" t="s">
        <v>716</v>
      </c>
      <c r="AD108" s="16" t="s">
        <v>848</v>
      </c>
      <c r="AE108" s="16" t="s">
        <v>855</v>
      </c>
      <c r="AF108" s="16" t="str">
        <f>_xlfn.CONCAT(EjecucionHaciendaDiciembre[[#This Row],[NOMBRE_RUBRO]]," - ",EjecucionHaciendaDiciembre[[#This Row],[NOMBRE_RECURSO]])</f>
        <v>Vehículos automotores, remolques y semirremolques; y sus partes, piezas y accesorios - 1.3.2.3.11-R.F. CONTRIBUCION SOBRE CONTRATOS DE OBRA PUBLICA</v>
      </c>
      <c r="AH108" s="1"/>
      <c r="AI108" s="1"/>
      <c r="AJ108" s="1"/>
      <c r="AK108" s="1"/>
      <c r="AL108" s="1"/>
      <c r="AM108" s="1"/>
    </row>
    <row r="109" spans="1:39" ht="72" x14ac:dyDescent="0.3">
      <c r="A109" s="3" t="s">
        <v>80</v>
      </c>
      <c r="B109" s="3" t="s">
        <v>194</v>
      </c>
      <c r="C109" s="2" t="s">
        <v>239</v>
      </c>
      <c r="D109" s="2" t="s">
        <v>315</v>
      </c>
      <c r="E109" s="2" t="s">
        <v>244</v>
      </c>
      <c r="F109" s="3" t="s">
        <v>383</v>
      </c>
      <c r="G109" s="47" t="s">
        <v>427</v>
      </c>
      <c r="H109" s="3" t="s">
        <v>681</v>
      </c>
      <c r="I109" s="4">
        <v>0</v>
      </c>
      <c r="J109" s="4">
        <v>0</v>
      </c>
      <c r="K109" s="4">
        <v>0</v>
      </c>
      <c r="L109" s="4">
        <v>1860000000</v>
      </c>
      <c r="M109" s="4">
        <v>0</v>
      </c>
      <c r="N109" s="4">
        <v>1860000000</v>
      </c>
      <c r="O109" s="4">
        <v>1860000000</v>
      </c>
      <c r="P109" s="4">
        <v>1860000000</v>
      </c>
      <c r="Q109" s="4">
        <v>1860000000</v>
      </c>
      <c r="R109" s="4">
        <v>0</v>
      </c>
      <c r="S109" s="4">
        <v>0</v>
      </c>
      <c r="T109" s="4">
        <v>0</v>
      </c>
      <c r="U109" s="23" t="s">
        <v>680</v>
      </c>
      <c r="V109" s="31">
        <v>450107900</v>
      </c>
      <c r="W109" s="17" t="s">
        <v>815</v>
      </c>
      <c r="X109" s="17" t="s">
        <v>749</v>
      </c>
      <c r="Y109" s="15" t="s">
        <v>781</v>
      </c>
      <c r="Z109" s="17">
        <v>2025</v>
      </c>
      <c r="AA109" s="17" t="s">
        <v>716</v>
      </c>
      <c r="AB109" s="81">
        <v>2025</v>
      </c>
      <c r="AC109" s="16" t="s">
        <v>716</v>
      </c>
      <c r="AD109" s="16" t="s">
        <v>848</v>
      </c>
      <c r="AE109" s="16" t="s">
        <v>866</v>
      </c>
      <c r="AF109" s="16" t="str">
        <f>_xlfn.CONCAT(EjecucionHaciendaDiciembre[[#This Row],[NOMBRE_RUBRO]]," - ",EjecucionHaciendaDiciembre[[#This Row],[NOMBRE_RECURSO]])</f>
        <v>Buques - 1.2.3.2.06-CONTRIBUCION SOBRE CONTRATOS DE OBRA PUBLICA</v>
      </c>
      <c r="AH109" s="1"/>
      <c r="AI109" s="1"/>
      <c r="AJ109" s="1"/>
      <c r="AK109" s="1"/>
      <c r="AL109" s="1"/>
      <c r="AM109" s="1"/>
    </row>
    <row r="110" spans="1:39" ht="28.8" x14ac:dyDescent="0.3">
      <c r="A110" s="14" t="s">
        <v>81</v>
      </c>
      <c r="B110" s="14" t="s">
        <v>154</v>
      </c>
      <c r="C110" s="15"/>
      <c r="D110" s="15"/>
      <c r="E110" s="15"/>
      <c r="F110" s="14"/>
      <c r="G110" s="15"/>
      <c r="H110" s="14"/>
      <c r="I110" s="16">
        <v>0</v>
      </c>
      <c r="J110" s="16">
        <v>8377081</v>
      </c>
      <c r="K110" s="16">
        <v>0</v>
      </c>
      <c r="L110" s="16">
        <v>0</v>
      </c>
      <c r="M110" s="16">
        <v>0</v>
      </c>
      <c r="N110" s="16">
        <v>8377081</v>
      </c>
      <c r="O110" s="16">
        <v>8377081</v>
      </c>
      <c r="P110" s="16">
        <v>8377081</v>
      </c>
      <c r="Q110" s="16">
        <v>7695000</v>
      </c>
      <c r="R110" s="16">
        <v>7695000</v>
      </c>
      <c r="S110" s="16">
        <v>7695000</v>
      </c>
      <c r="T110" s="16">
        <v>0</v>
      </c>
      <c r="U110" s="17"/>
      <c r="V110" s="86"/>
      <c r="W110" s="17"/>
      <c r="X110" s="17" t="s">
        <v>716</v>
      </c>
      <c r="Y110" s="15"/>
      <c r="Z110" s="17"/>
      <c r="AA110" s="17" t="s">
        <v>716</v>
      </c>
      <c r="AB110" s="81"/>
      <c r="AC110" s="16" t="s">
        <v>716</v>
      </c>
      <c r="AD110" s="16" t="s">
        <v>716</v>
      </c>
      <c r="AE110" s="16" t="s">
        <v>716</v>
      </c>
      <c r="AF110" s="16" t="str">
        <f>_xlfn.CONCAT(EjecucionHaciendaDiciembre[[#This Row],[NOMBRE_RUBRO]]," - ",EjecucionHaciendaDiciembre[[#This Row],[NOMBRE_RECURSO]])</f>
        <v xml:space="preserve">Activos fijos no clasificados como maquinaria y equipo - </v>
      </c>
      <c r="AH110" s="1"/>
      <c r="AI110" s="1"/>
      <c r="AJ110" s="1"/>
      <c r="AK110" s="1"/>
      <c r="AL110" s="1"/>
      <c r="AM110" s="1"/>
    </row>
    <row r="111" spans="1:39" ht="28.8" x14ac:dyDescent="0.3">
      <c r="A111" s="14" t="s">
        <v>82</v>
      </c>
      <c r="B111" s="14" t="s">
        <v>155</v>
      </c>
      <c r="C111" s="15"/>
      <c r="D111" s="15"/>
      <c r="E111" s="15"/>
      <c r="F111" s="14"/>
      <c r="G111" s="15"/>
      <c r="H111" s="14"/>
      <c r="I111" s="16">
        <v>0</v>
      </c>
      <c r="J111" s="16">
        <v>8377081</v>
      </c>
      <c r="K111" s="16">
        <v>0</v>
      </c>
      <c r="L111" s="16">
        <v>0</v>
      </c>
      <c r="M111" s="16">
        <v>0</v>
      </c>
      <c r="N111" s="16">
        <v>8377081</v>
      </c>
      <c r="O111" s="16">
        <v>8377081</v>
      </c>
      <c r="P111" s="16">
        <v>8377081</v>
      </c>
      <c r="Q111" s="16">
        <v>7695000</v>
      </c>
      <c r="R111" s="16">
        <v>7695000</v>
      </c>
      <c r="S111" s="16">
        <v>7695000</v>
      </c>
      <c r="T111" s="16">
        <v>0</v>
      </c>
      <c r="U111" s="17"/>
      <c r="V111" s="86"/>
      <c r="W111" s="17"/>
      <c r="X111" s="17" t="s">
        <v>716</v>
      </c>
      <c r="Y111" s="15"/>
      <c r="Z111" s="17"/>
      <c r="AA111" s="17" t="s">
        <v>716</v>
      </c>
      <c r="AB111" s="81"/>
      <c r="AC111" s="16" t="s">
        <v>716</v>
      </c>
      <c r="AD111" s="16" t="s">
        <v>716</v>
      </c>
      <c r="AE111" s="16" t="s">
        <v>716</v>
      </c>
      <c r="AF111" s="16" t="str">
        <f>_xlfn.CONCAT(EjecucionHaciendaDiciembre[[#This Row],[NOMBRE_RUBRO]]," - ",EjecucionHaciendaDiciembre[[#This Row],[NOMBRE_RECURSO]])</f>
        <v xml:space="preserve">Muebles, instrumentos musicales, artículos de deporte y antigüedades - </v>
      </c>
      <c r="AH111" s="1"/>
      <c r="AI111" s="1"/>
      <c r="AJ111" s="1"/>
      <c r="AK111" s="1"/>
      <c r="AL111" s="1"/>
      <c r="AM111" s="1"/>
    </row>
    <row r="112" spans="1:39" ht="14.4" x14ac:dyDescent="0.3">
      <c r="A112" s="14" t="s">
        <v>83</v>
      </c>
      <c r="B112" s="14" t="s">
        <v>156</v>
      </c>
      <c r="C112" s="15"/>
      <c r="D112" s="15"/>
      <c r="E112" s="15"/>
      <c r="F112" s="14"/>
      <c r="G112" s="15"/>
      <c r="H112" s="14"/>
      <c r="I112" s="16">
        <v>0</v>
      </c>
      <c r="J112" s="16">
        <v>8377081</v>
      </c>
      <c r="K112" s="16">
        <v>0</v>
      </c>
      <c r="L112" s="16">
        <v>0</v>
      </c>
      <c r="M112" s="16">
        <v>0</v>
      </c>
      <c r="N112" s="16">
        <v>8377081</v>
      </c>
      <c r="O112" s="16">
        <v>8377081</v>
      </c>
      <c r="P112" s="16">
        <v>8377081</v>
      </c>
      <c r="Q112" s="16">
        <v>7695000</v>
      </c>
      <c r="R112" s="16">
        <v>7695000</v>
      </c>
      <c r="S112" s="16">
        <v>7695000</v>
      </c>
      <c r="T112" s="16">
        <v>0</v>
      </c>
      <c r="U112" s="17"/>
      <c r="V112" s="86"/>
      <c r="W112" s="17"/>
      <c r="X112" s="17" t="s">
        <v>716</v>
      </c>
      <c r="Y112" s="15"/>
      <c r="Z112" s="17"/>
      <c r="AA112" s="17" t="s">
        <v>716</v>
      </c>
      <c r="AB112" s="81"/>
      <c r="AC112" s="16" t="s">
        <v>716</v>
      </c>
      <c r="AD112" s="16" t="s">
        <v>716</v>
      </c>
      <c r="AE112" s="16" t="s">
        <v>716</v>
      </c>
      <c r="AF112" s="16" t="str">
        <f>_xlfn.CONCAT(EjecucionHaciendaDiciembre[[#This Row],[NOMBRE_RUBRO]]," - ",EjecucionHaciendaDiciembre[[#This Row],[NOMBRE_RECURSO]])</f>
        <v xml:space="preserve">Muebles - </v>
      </c>
      <c r="AH112" s="1"/>
      <c r="AI112" s="1"/>
      <c r="AJ112" s="1"/>
      <c r="AK112" s="1"/>
      <c r="AL112" s="1"/>
      <c r="AM112" s="1"/>
    </row>
    <row r="113" spans="1:39" ht="28.8" x14ac:dyDescent="0.3">
      <c r="A113" s="48" t="s">
        <v>84</v>
      </c>
      <c r="B113" s="48" t="s">
        <v>157</v>
      </c>
      <c r="C113" s="49" t="s">
        <v>217</v>
      </c>
      <c r="D113" s="49" t="s">
        <v>293</v>
      </c>
      <c r="E113" s="49" t="s">
        <v>224</v>
      </c>
      <c r="F113" s="48" t="s">
        <v>378</v>
      </c>
      <c r="G113" s="49" t="s">
        <v>399</v>
      </c>
      <c r="H113" s="48" t="s">
        <v>539</v>
      </c>
      <c r="I113" s="50">
        <v>0</v>
      </c>
      <c r="J113" s="50">
        <v>8377081</v>
      </c>
      <c r="K113" s="50">
        <v>0</v>
      </c>
      <c r="L113" s="50">
        <v>0</v>
      </c>
      <c r="M113" s="50">
        <v>0</v>
      </c>
      <c r="N113" s="50">
        <v>8377081</v>
      </c>
      <c r="O113" s="50">
        <v>8377081</v>
      </c>
      <c r="P113" s="50">
        <v>8377081</v>
      </c>
      <c r="Q113" s="50">
        <v>7695000</v>
      </c>
      <c r="R113" s="50">
        <v>7695000</v>
      </c>
      <c r="S113" s="50">
        <v>7695000</v>
      </c>
      <c r="T113" s="50">
        <v>0</v>
      </c>
      <c r="U113" s="51"/>
      <c r="V113" s="52"/>
      <c r="W113" s="17" t="s">
        <v>798</v>
      </c>
      <c r="X113" s="17" t="s">
        <v>716</v>
      </c>
      <c r="Y113" s="15"/>
      <c r="Z113" s="17"/>
      <c r="AA113" s="17" t="s">
        <v>716</v>
      </c>
      <c r="AB113" s="81"/>
      <c r="AC113" s="16" t="s">
        <v>716</v>
      </c>
      <c r="AD113" s="16" t="s">
        <v>848</v>
      </c>
      <c r="AE113" s="16" t="s">
        <v>855</v>
      </c>
      <c r="AF113" s="16" t="str">
        <f>_xlfn.CONCAT(EjecucionHaciendaDiciembre[[#This Row],[NOMBRE_RUBRO]]," - ",EjecucionHaciendaDiciembre[[#This Row],[NOMBRE_RECURSO]])</f>
        <v>Muebles del tipo utilizado en la oficina - 1.3.3.3.20-R.B. SALUD EVALUACION SANITARIA</v>
      </c>
      <c r="AH113" s="1"/>
      <c r="AI113" s="1"/>
      <c r="AJ113" s="1"/>
      <c r="AK113" s="1"/>
      <c r="AL113" s="1"/>
      <c r="AM113" s="1"/>
    </row>
    <row r="114" spans="1:39" ht="14.4" x14ac:dyDescent="0.3">
      <c r="A114" s="14" t="s">
        <v>85</v>
      </c>
      <c r="B114" s="14" t="s">
        <v>195</v>
      </c>
      <c r="C114" s="15"/>
      <c r="D114" s="15"/>
      <c r="E114" s="15"/>
      <c r="F114" s="14"/>
      <c r="G114" s="15"/>
      <c r="H114" s="14"/>
      <c r="I114" s="16">
        <v>2700000000</v>
      </c>
      <c r="J114" s="16">
        <v>800000000</v>
      </c>
      <c r="K114" s="16">
        <v>0</v>
      </c>
      <c r="L114" s="16">
        <v>800000000</v>
      </c>
      <c r="M114" s="16">
        <v>800000000</v>
      </c>
      <c r="N114" s="16">
        <v>3500000000</v>
      </c>
      <c r="O114" s="16">
        <v>3500000000</v>
      </c>
      <c r="P114" s="16">
        <v>3500000000</v>
      </c>
      <c r="Q114" s="16">
        <v>3500000000</v>
      </c>
      <c r="R114" s="16">
        <v>2699999999.9899998</v>
      </c>
      <c r="S114" s="16">
        <v>2252899023.0700002</v>
      </c>
      <c r="T114" s="16">
        <v>0</v>
      </c>
      <c r="U114" s="17"/>
      <c r="V114" s="86"/>
      <c r="W114" s="17"/>
      <c r="X114" s="17" t="s">
        <v>716</v>
      </c>
      <c r="Y114" s="15"/>
      <c r="Z114" s="17"/>
      <c r="AA114" s="17" t="s">
        <v>716</v>
      </c>
      <c r="AB114" s="81"/>
      <c r="AC114" s="16" t="s">
        <v>716</v>
      </c>
      <c r="AD114" s="16" t="s">
        <v>716</v>
      </c>
      <c r="AE114" s="16" t="s">
        <v>716</v>
      </c>
      <c r="AF114" s="16" t="str">
        <f>_xlfn.CONCAT(EjecucionHaciendaDiciembre[[#This Row],[NOMBRE_RUBRO]]," - ",EjecucionHaciendaDiciembre[[#This Row],[NOMBRE_RECURSO]])</f>
        <v xml:space="preserve">Otros activos fijos - </v>
      </c>
      <c r="AH114" s="1"/>
      <c r="AI114" s="1"/>
      <c r="AJ114" s="1"/>
      <c r="AK114" s="1"/>
      <c r="AL114" s="1"/>
      <c r="AM114" s="1"/>
    </row>
    <row r="115" spans="1:39" ht="14.4" x14ac:dyDescent="0.3">
      <c r="A115" s="14" t="s">
        <v>86</v>
      </c>
      <c r="B115" s="14" t="s">
        <v>196</v>
      </c>
      <c r="C115" s="15"/>
      <c r="D115" s="15"/>
      <c r="E115" s="15"/>
      <c r="F115" s="14"/>
      <c r="G115" s="15"/>
      <c r="H115" s="14"/>
      <c r="I115" s="16">
        <v>2700000000</v>
      </c>
      <c r="J115" s="16">
        <v>800000000</v>
      </c>
      <c r="K115" s="16">
        <v>0</v>
      </c>
      <c r="L115" s="16">
        <v>800000000</v>
      </c>
      <c r="M115" s="16">
        <v>800000000</v>
      </c>
      <c r="N115" s="16">
        <v>3500000000</v>
      </c>
      <c r="O115" s="16">
        <v>3500000000</v>
      </c>
      <c r="P115" s="16">
        <v>3500000000</v>
      </c>
      <c r="Q115" s="16">
        <v>3500000000</v>
      </c>
      <c r="R115" s="16">
        <v>2699999999.9899998</v>
      </c>
      <c r="S115" s="16">
        <v>2252899023.0700002</v>
      </c>
      <c r="T115" s="16">
        <v>0</v>
      </c>
      <c r="U115" s="17"/>
      <c r="V115" s="86"/>
      <c r="W115" s="17"/>
      <c r="X115" s="17" t="s">
        <v>716</v>
      </c>
      <c r="Y115" s="15"/>
      <c r="Z115" s="17"/>
      <c r="AA115" s="17" t="s">
        <v>716</v>
      </c>
      <c r="AB115" s="81"/>
      <c r="AC115" s="16" t="s">
        <v>716</v>
      </c>
      <c r="AD115" s="16" t="s">
        <v>716</v>
      </c>
      <c r="AE115" s="16" t="s">
        <v>716</v>
      </c>
      <c r="AF115" s="16" t="str">
        <f>_xlfn.CONCAT(EjecucionHaciendaDiciembre[[#This Row],[NOMBRE_RUBRO]]," - ",EjecucionHaciendaDiciembre[[#This Row],[NOMBRE_RECURSO]])</f>
        <v xml:space="preserve">Productos de la propiedad intelectual - </v>
      </c>
      <c r="AH115" s="1"/>
      <c r="AI115" s="1"/>
      <c r="AJ115" s="1"/>
      <c r="AK115" s="1"/>
      <c r="AL115" s="1"/>
      <c r="AM115" s="1"/>
    </row>
    <row r="116" spans="1:39" ht="28.8" x14ac:dyDescent="0.3">
      <c r="A116" s="14" t="s">
        <v>87</v>
      </c>
      <c r="B116" s="14" t="s">
        <v>197</v>
      </c>
      <c r="C116" s="15"/>
      <c r="D116" s="15"/>
      <c r="E116" s="15"/>
      <c r="F116" s="14"/>
      <c r="G116" s="15"/>
      <c r="H116" s="14"/>
      <c r="I116" s="16">
        <v>2700000000</v>
      </c>
      <c r="J116" s="16">
        <v>800000000</v>
      </c>
      <c r="K116" s="16">
        <v>0</v>
      </c>
      <c r="L116" s="16">
        <v>800000000</v>
      </c>
      <c r="M116" s="16">
        <v>800000000</v>
      </c>
      <c r="N116" s="16">
        <v>3500000000</v>
      </c>
      <c r="O116" s="16">
        <v>3500000000</v>
      </c>
      <c r="P116" s="16">
        <v>3500000000</v>
      </c>
      <c r="Q116" s="16">
        <v>3500000000</v>
      </c>
      <c r="R116" s="16">
        <v>2699999999.9899998</v>
      </c>
      <c r="S116" s="16">
        <v>2252899023.0700002</v>
      </c>
      <c r="T116" s="16">
        <v>0</v>
      </c>
      <c r="U116" s="17"/>
      <c r="V116" s="86"/>
      <c r="W116" s="17"/>
      <c r="X116" s="17" t="s">
        <v>716</v>
      </c>
      <c r="Y116" s="15"/>
      <c r="Z116" s="17"/>
      <c r="AA116" s="17" t="s">
        <v>716</v>
      </c>
      <c r="AB116" s="81"/>
      <c r="AC116" s="16" t="s">
        <v>716</v>
      </c>
      <c r="AD116" s="16" t="s">
        <v>716</v>
      </c>
      <c r="AE116" s="16" t="s">
        <v>716</v>
      </c>
      <c r="AF116" s="16" t="str">
        <f>_xlfn.CONCAT(EjecucionHaciendaDiciembre[[#This Row],[NOMBRE_RUBRO]]," - ",EjecucionHaciendaDiciembre[[#This Row],[NOMBRE_RECURSO]])</f>
        <v xml:space="preserve">Programas de informática y bases de datos - </v>
      </c>
      <c r="AH116" s="1"/>
      <c r="AI116" s="1"/>
      <c r="AJ116" s="1"/>
      <c r="AK116" s="1"/>
      <c r="AL116" s="1"/>
      <c r="AM116" s="1"/>
    </row>
    <row r="117" spans="1:39" ht="14.4" x14ac:dyDescent="0.3">
      <c r="A117" s="14" t="s">
        <v>88</v>
      </c>
      <c r="B117" s="14" t="s">
        <v>198</v>
      </c>
      <c r="C117" s="15"/>
      <c r="D117" s="15"/>
      <c r="E117" s="15"/>
      <c r="F117" s="14"/>
      <c r="G117" s="15"/>
      <c r="H117" s="14"/>
      <c r="I117" s="16">
        <v>2700000000</v>
      </c>
      <c r="J117" s="16">
        <v>800000000</v>
      </c>
      <c r="K117" s="16">
        <v>0</v>
      </c>
      <c r="L117" s="16">
        <v>800000000</v>
      </c>
      <c r="M117" s="16">
        <v>800000000</v>
      </c>
      <c r="N117" s="16">
        <v>3500000000</v>
      </c>
      <c r="O117" s="16">
        <v>3500000000</v>
      </c>
      <c r="P117" s="16">
        <v>3500000000</v>
      </c>
      <c r="Q117" s="16">
        <v>3500000000</v>
      </c>
      <c r="R117" s="16">
        <v>2699999999.9899998</v>
      </c>
      <c r="S117" s="16">
        <v>2252899023.0700002</v>
      </c>
      <c r="T117" s="16">
        <v>0</v>
      </c>
      <c r="U117" s="17"/>
      <c r="V117" s="86"/>
      <c r="W117" s="17"/>
      <c r="X117" s="17" t="s">
        <v>716</v>
      </c>
      <c r="Y117" s="15"/>
      <c r="Z117" s="17"/>
      <c r="AA117" s="17" t="s">
        <v>716</v>
      </c>
      <c r="AB117" s="81"/>
      <c r="AC117" s="16" t="s">
        <v>716</v>
      </c>
      <c r="AD117" s="16" t="s">
        <v>716</v>
      </c>
      <c r="AE117" s="16" t="s">
        <v>716</v>
      </c>
      <c r="AF117" s="16" t="str">
        <f>_xlfn.CONCAT(EjecucionHaciendaDiciembre[[#This Row],[NOMBRE_RUBRO]]," - ",EjecucionHaciendaDiciembre[[#This Row],[NOMBRE_RECURSO]])</f>
        <v xml:space="preserve">Programas de informática - </v>
      </c>
      <c r="AH117" s="1"/>
      <c r="AI117" s="1"/>
      <c r="AJ117" s="1"/>
      <c r="AK117" s="1"/>
      <c r="AL117" s="1"/>
      <c r="AM117" s="1"/>
    </row>
    <row r="118" spans="1:39" ht="72" x14ac:dyDescent="0.3">
      <c r="A118" s="3" t="s">
        <v>89</v>
      </c>
      <c r="B118" s="3" t="s">
        <v>199</v>
      </c>
      <c r="C118" s="2" t="s">
        <v>215</v>
      </c>
      <c r="D118" s="2" t="s">
        <v>291</v>
      </c>
      <c r="E118" s="2" t="s">
        <v>371</v>
      </c>
      <c r="F118" s="3" t="s">
        <v>385</v>
      </c>
      <c r="G118" s="2" t="s">
        <v>428</v>
      </c>
      <c r="H118" s="3" t="s">
        <v>625</v>
      </c>
      <c r="I118" s="4">
        <v>1014124534</v>
      </c>
      <c r="J118" s="4">
        <v>0</v>
      </c>
      <c r="K118" s="4">
        <v>0</v>
      </c>
      <c r="L118" s="4">
        <v>0</v>
      </c>
      <c r="M118" s="4">
        <v>0</v>
      </c>
      <c r="N118" s="4">
        <v>1014124534</v>
      </c>
      <c r="O118" s="4">
        <v>1014124534</v>
      </c>
      <c r="P118" s="4">
        <v>1014124534</v>
      </c>
      <c r="Q118" s="4">
        <v>1014124534</v>
      </c>
      <c r="R118" s="4">
        <v>1014124533.99</v>
      </c>
      <c r="S118" s="4">
        <v>735611104.07000005</v>
      </c>
      <c r="T118" s="4">
        <v>0</v>
      </c>
      <c r="U118" s="23" t="s">
        <v>626</v>
      </c>
      <c r="V118" s="31">
        <v>459902500</v>
      </c>
      <c r="W118" s="17" t="s">
        <v>789</v>
      </c>
      <c r="X118" s="17" t="s">
        <v>748</v>
      </c>
      <c r="Y118" s="15" t="s">
        <v>779</v>
      </c>
      <c r="Z118" s="17">
        <v>2024</v>
      </c>
      <c r="AA118" s="17" t="s">
        <v>716</v>
      </c>
      <c r="AB118" s="81">
        <v>2024</v>
      </c>
      <c r="AC118" s="16" t="s">
        <v>716</v>
      </c>
      <c r="AD118" s="16" t="s">
        <v>849</v>
      </c>
      <c r="AE118" s="16" t="s">
        <v>855</v>
      </c>
      <c r="AF118" s="16" t="str">
        <f>_xlfn.CONCAT(EjecucionHaciendaDiciembre[[#This Row],[NOMBRE_RUBRO]]," - ",EjecucionHaciendaDiciembre[[#This Row],[NOMBRE_RECURSO]])</f>
        <v>Paquetes de software - 1.2.1.0.00 - INGRESOS CORRIENTES DE LIBRE DESTINACION</v>
      </c>
      <c r="AH118" s="1"/>
      <c r="AI118" s="1"/>
      <c r="AJ118" s="1"/>
      <c r="AK118" s="1"/>
      <c r="AL118" s="1"/>
      <c r="AM118" s="1"/>
    </row>
    <row r="119" spans="1:39" ht="62.4" customHeight="1" x14ac:dyDescent="0.3">
      <c r="A119" s="3" t="s">
        <v>89</v>
      </c>
      <c r="B119" s="3" t="s">
        <v>199</v>
      </c>
      <c r="C119" s="2" t="s">
        <v>215</v>
      </c>
      <c r="D119" s="2" t="s">
        <v>291</v>
      </c>
      <c r="E119" s="2" t="s">
        <v>371</v>
      </c>
      <c r="F119" s="3" t="s">
        <v>385</v>
      </c>
      <c r="G119" s="2" t="s">
        <v>429</v>
      </c>
      <c r="H119" s="3" t="s">
        <v>627</v>
      </c>
      <c r="I119" s="4">
        <v>842937733</v>
      </c>
      <c r="J119" s="4">
        <v>0</v>
      </c>
      <c r="K119" s="4">
        <v>0</v>
      </c>
      <c r="L119" s="4">
        <v>0</v>
      </c>
      <c r="M119" s="4">
        <v>0</v>
      </c>
      <c r="N119" s="4">
        <v>842937733</v>
      </c>
      <c r="O119" s="4">
        <v>842937733</v>
      </c>
      <c r="P119" s="4">
        <v>842937733</v>
      </c>
      <c r="Q119" s="4">
        <v>842937733</v>
      </c>
      <c r="R119" s="4">
        <v>842937733</v>
      </c>
      <c r="S119" s="4">
        <v>842937733</v>
      </c>
      <c r="T119" s="4">
        <v>0</v>
      </c>
      <c r="U119" s="23" t="s">
        <v>626</v>
      </c>
      <c r="V119" s="31">
        <v>459902500</v>
      </c>
      <c r="W119" s="17" t="s">
        <v>789</v>
      </c>
      <c r="X119" s="17" t="s">
        <v>748</v>
      </c>
      <c r="Y119" s="15" t="s">
        <v>779</v>
      </c>
      <c r="Z119" s="17">
        <v>2024</v>
      </c>
      <c r="AA119" s="17" t="s">
        <v>716</v>
      </c>
      <c r="AB119" s="81">
        <v>2024</v>
      </c>
      <c r="AC119" s="16" t="s">
        <v>716</v>
      </c>
      <c r="AD119" s="16" t="s">
        <v>849</v>
      </c>
      <c r="AE119" s="16" t="s">
        <v>855</v>
      </c>
      <c r="AF119" s="16" t="str">
        <f>_xlfn.CONCAT(EjecucionHaciendaDiciembre[[#This Row],[NOMBRE_RUBRO]]," - ",EjecucionHaciendaDiciembre[[#This Row],[NOMBRE_RECURSO]])</f>
        <v>Paquetes de software - 1.2.1.0.00 - INGRESOS CORRIENTES DE LIBRE DESTINACION</v>
      </c>
      <c r="AH119" s="1"/>
      <c r="AI119" s="1"/>
      <c r="AJ119" s="1"/>
      <c r="AK119" s="1"/>
      <c r="AL119" s="1"/>
      <c r="AM119" s="1"/>
    </row>
    <row r="120" spans="1:39" ht="61.2" customHeight="1" x14ac:dyDescent="0.3">
      <c r="A120" s="3" t="s">
        <v>89</v>
      </c>
      <c r="B120" s="3" t="s">
        <v>199</v>
      </c>
      <c r="C120" s="2" t="s">
        <v>215</v>
      </c>
      <c r="D120" s="2" t="s">
        <v>291</v>
      </c>
      <c r="E120" s="2" t="s">
        <v>371</v>
      </c>
      <c r="F120" s="3" t="s">
        <v>385</v>
      </c>
      <c r="G120" s="2" t="s">
        <v>430</v>
      </c>
      <c r="H120" s="3" t="s">
        <v>628</v>
      </c>
      <c r="I120" s="4">
        <v>842937733</v>
      </c>
      <c r="J120" s="4">
        <v>0</v>
      </c>
      <c r="K120" s="4">
        <v>0</v>
      </c>
      <c r="L120" s="4">
        <v>0</v>
      </c>
      <c r="M120" s="4">
        <v>0</v>
      </c>
      <c r="N120" s="4">
        <v>842937733</v>
      </c>
      <c r="O120" s="4">
        <v>842937733</v>
      </c>
      <c r="P120" s="4">
        <v>842937733</v>
      </c>
      <c r="Q120" s="4">
        <v>842937733</v>
      </c>
      <c r="R120" s="4">
        <v>842937733</v>
      </c>
      <c r="S120" s="4">
        <v>674350186</v>
      </c>
      <c r="T120" s="4">
        <v>0</v>
      </c>
      <c r="U120" s="23" t="s">
        <v>626</v>
      </c>
      <c r="V120" s="31">
        <v>459902300</v>
      </c>
      <c r="W120" s="17" t="s">
        <v>789</v>
      </c>
      <c r="X120" s="17" t="s">
        <v>748</v>
      </c>
      <c r="Y120" s="15" t="s">
        <v>779</v>
      </c>
      <c r="Z120" s="17">
        <v>2024</v>
      </c>
      <c r="AA120" s="17" t="s">
        <v>716</v>
      </c>
      <c r="AB120" s="81">
        <v>2024</v>
      </c>
      <c r="AC120" s="16" t="s">
        <v>716</v>
      </c>
      <c r="AD120" s="16" t="s">
        <v>849</v>
      </c>
      <c r="AE120" s="16" t="s">
        <v>855</v>
      </c>
      <c r="AF120" s="16" t="str">
        <f>_xlfn.CONCAT(EjecucionHaciendaDiciembre[[#This Row],[NOMBRE_RUBRO]]," - ",EjecucionHaciendaDiciembre[[#This Row],[NOMBRE_RECURSO]])</f>
        <v>Paquetes de software - 1.2.1.0.00 - INGRESOS CORRIENTES DE LIBRE DESTINACION</v>
      </c>
      <c r="AH120" s="1"/>
      <c r="AI120" s="1"/>
      <c r="AJ120" s="1"/>
      <c r="AK120" s="1"/>
      <c r="AL120" s="1"/>
      <c r="AM120" s="1"/>
    </row>
    <row r="121" spans="1:39" ht="43.2" x14ac:dyDescent="0.3">
      <c r="A121" s="36" t="s">
        <v>89</v>
      </c>
      <c r="B121" s="36" t="s">
        <v>199</v>
      </c>
      <c r="C121" s="37" t="s">
        <v>218</v>
      </c>
      <c r="D121" s="37" t="s">
        <v>294</v>
      </c>
      <c r="E121" s="37" t="s">
        <v>218</v>
      </c>
      <c r="F121" s="36" t="s">
        <v>386</v>
      </c>
      <c r="G121" s="37" t="s">
        <v>399</v>
      </c>
      <c r="H121" s="36"/>
      <c r="I121" s="38">
        <v>0</v>
      </c>
      <c r="J121" s="38">
        <v>800000000</v>
      </c>
      <c r="K121" s="38">
        <v>0</v>
      </c>
      <c r="L121" s="38">
        <v>0</v>
      </c>
      <c r="M121" s="38">
        <v>800000000</v>
      </c>
      <c r="N121" s="38">
        <v>0</v>
      </c>
      <c r="O121" s="38">
        <v>0</v>
      </c>
      <c r="P121" s="38">
        <v>0</v>
      </c>
      <c r="Q121" s="38">
        <v>0</v>
      </c>
      <c r="R121" s="38">
        <v>0</v>
      </c>
      <c r="S121" s="38">
        <v>0</v>
      </c>
      <c r="T121" s="38">
        <v>0</v>
      </c>
      <c r="U121" s="39"/>
      <c r="V121" s="84"/>
      <c r="W121" s="17"/>
      <c r="X121" s="17" t="s">
        <v>716</v>
      </c>
      <c r="Y121" s="15"/>
      <c r="Z121" s="17"/>
      <c r="AA121" s="17" t="s">
        <v>716</v>
      </c>
      <c r="AB121" s="81"/>
      <c r="AC121" s="16" t="s">
        <v>716</v>
      </c>
      <c r="AD121" s="16" t="s">
        <v>849</v>
      </c>
      <c r="AE121" s="16" t="s">
        <v>855</v>
      </c>
      <c r="AF121" s="16" t="str">
        <f>_xlfn.CONCAT(EjecucionHaciendaDiciembre[[#This Row],[NOMBRE_RUBRO]]," - ",EjecucionHaciendaDiciembre[[#This Row],[NOMBRE_RECURSO]])</f>
        <v>Paquetes de software - 1.3.3.1.00-RECURSOS DEL BALANCE DE LIBRE DESTINACION</v>
      </c>
      <c r="AH121" s="1"/>
      <c r="AI121" s="1"/>
      <c r="AJ121" s="1"/>
      <c r="AK121" s="1"/>
      <c r="AL121" s="1"/>
      <c r="AM121" s="1"/>
    </row>
    <row r="122" spans="1:39" ht="55.95" customHeight="1" x14ac:dyDescent="0.3">
      <c r="A122" s="3" t="s">
        <v>89</v>
      </c>
      <c r="B122" s="3" t="s">
        <v>199</v>
      </c>
      <c r="C122" s="2" t="s">
        <v>218</v>
      </c>
      <c r="D122" s="2" t="s">
        <v>294</v>
      </c>
      <c r="E122" s="2" t="s">
        <v>218</v>
      </c>
      <c r="F122" s="3" t="s">
        <v>386</v>
      </c>
      <c r="G122" s="2" t="s">
        <v>431</v>
      </c>
      <c r="H122" s="3" t="s">
        <v>662</v>
      </c>
      <c r="I122" s="4">
        <v>0</v>
      </c>
      <c r="J122" s="4">
        <v>0</v>
      </c>
      <c r="K122" s="4">
        <v>0</v>
      </c>
      <c r="L122" s="4">
        <v>800000000</v>
      </c>
      <c r="M122" s="4">
        <v>0</v>
      </c>
      <c r="N122" s="4">
        <v>800000000</v>
      </c>
      <c r="O122" s="4">
        <v>800000000</v>
      </c>
      <c r="P122" s="4">
        <v>800000000</v>
      </c>
      <c r="Q122" s="4">
        <v>800000000</v>
      </c>
      <c r="R122" s="4">
        <v>0</v>
      </c>
      <c r="S122" s="4">
        <v>0</v>
      </c>
      <c r="T122" s="4">
        <v>0</v>
      </c>
      <c r="U122" s="23" t="s">
        <v>663</v>
      </c>
      <c r="V122" s="31">
        <v>459902500</v>
      </c>
      <c r="W122" s="17" t="s">
        <v>815</v>
      </c>
      <c r="X122" s="17" t="s">
        <v>749</v>
      </c>
      <c r="Y122" s="15" t="s">
        <v>781</v>
      </c>
      <c r="Z122" s="17">
        <v>2025</v>
      </c>
      <c r="AA122" s="17" t="s">
        <v>716</v>
      </c>
      <c r="AB122" s="81">
        <v>2025</v>
      </c>
      <c r="AC122" s="16" t="s">
        <v>716</v>
      </c>
      <c r="AD122" s="16" t="s">
        <v>849</v>
      </c>
      <c r="AE122" s="16" t="s">
        <v>855</v>
      </c>
      <c r="AF122" s="16" t="str">
        <f>_xlfn.CONCAT(EjecucionHaciendaDiciembre[[#This Row],[NOMBRE_RUBRO]]," - ",EjecucionHaciendaDiciembre[[#This Row],[NOMBRE_RECURSO]])</f>
        <v>Paquetes de software - 1.3.3.1.00-RECURSOS DEL BALANCE DE LIBRE DESTINACION</v>
      </c>
      <c r="AH122" s="1"/>
      <c r="AI122" s="1"/>
      <c r="AJ122" s="1"/>
      <c r="AK122" s="1"/>
      <c r="AL122" s="1"/>
      <c r="AM122" s="1"/>
    </row>
    <row r="123" spans="1:39" ht="14.4" x14ac:dyDescent="0.3">
      <c r="A123" s="14" t="s">
        <v>90</v>
      </c>
      <c r="B123" s="14" t="s">
        <v>200</v>
      </c>
      <c r="C123" s="15"/>
      <c r="D123" s="15"/>
      <c r="E123" s="15"/>
      <c r="F123" s="14"/>
      <c r="G123" s="15"/>
      <c r="H123" s="14"/>
      <c r="I123" s="16">
        <v>180660000</v>
      </c>
      <c r="J123" s="16">
        <v>0</v>
      </c>
      <c r="K123" s="16">
        <v>0</v>
      </c>
      <c r="L123" s="16">
        <v>0</v>
      </c>
      <c r="M123" s="16">
        <v>0</v>
      </c>
      <c r="N123" s="16">
        <v>180660000</v>
      </c>
      <c r="O123" s="16">
        <v>180660000</v>
      </c>
      <c r="P123" s="16">
        <v>180660000</v>
      </c>
      <c r="Q123" s="16">
        <v>180660000</v>
      </c>
      <c r="R123" s="16">
        <v>180660000</v>
      </c>
      <c r="S123" s="16">
        <v>180660000</v>
      </c>
      <c r="T123" s="16">
        <v>0</v>
      </c>
      <c r="U123" s="17"/>
      <c r="V123" s="86"/>
      <c r="W123" s="17"/>
      <c r="X123" s="17" t="s">
        <v>716</v>
      </c>
      <c r="Y123" s="15"/>
      <c r="Z123" s="17"/>
      <c r="AA123" s="17" t="s">
        <v>716</v>
      </c>
      <c r="AB123" s="81"/>
      <c r="AC123" s="16" t="s">
        <v>716</v>
      </c>
      <c r="AD123" s="16" t="s">
        <v>716</v>
      </c>
      <c r="AE123" s="16" t="s">
        <v>716</v>
      </c>
      <c r="AF123" s="16" t="str">
        <f>_xlfn.CONCAT(EjecucionHaciendaDiciembre[[#This Row],[NOMBRE_RUBRO]]," - ",EjecucionHaciendaDiciembre[[#This Row],[NOMBRE_RECURSO]])</f>
        <v xml:space="preserve">Activos no producidos - </v>
      </c>
      <c r="AH123" s="1"/>
      <c r="AI123" s="1"/>
      <c r="AJ123" s="1"/>
      <c r="AK123" s="1"/>
      <c r="AL123" s="1"/>
      <c r="AM123" s="1"/>
    </row>
    <row r="124" spans="1:39" ht="99.75" customHeight="1" x14ac:dyDescent="0.3">
      <c r="A124" s="3" t="s">
        <v>91</v>
      </c>
      <c r="B124" s="3" t="s">
        <v>201</v>
      </c>
      <c r="C124" s="2" t="s">
        <v>215</v>
      </c>
      <c r="D124" s="2" t="s">
        <v>291</v>
      </c>
      <c r="E124" s="2" t="s">
        <v>372</v>
      </c>
      <c r="F124" s="3" t="s">
        <v>387</v>
      </c>
      <c r="G124" s="2" t="s">
        <v>432</v>
      </c>
      <c r="H124" s="3" t="s">
        <v>602</v>
      </c>
      <c r="I124" s="4">
        <v>180660000</v>
      </c>
      <c r="J124" s="4">
        <v>0</v>
      </c>
      <c r="K124" s="4">
        <v>0</v>
      </c>
      <c r="L124" s="4">
        <v>0</v>
      </c>
      <c r="M124" s="4">
        <v>0</v>
      </c>
      <c r="N124" s="4">
        <v>180660000</v>
      </c>
      <c r="O124" s="4">
        <v>180660000</v>
      </c>
      <c r="P124" s="4">
        <v>180660000</v>
      </c>
      <c r="Q124" s="4">
        <v>180660000</v>
      </c>
      <c r="R124" s="4">
        <v>180660000</v>
      </c>
      <c r="S124" s="4">
        <v>180660000</v>
      </c>
      <c r="T124" s="4">
        <v>0</v>
      </c>
      <c r="U124" s="23" t="s">
        <v>603</v>
      </c>
      <c r="V124" s="31">
        <v>170200900</v>
      </c>
      <c r="W124" s="17" t="s">
        <v>789</v>
      </c>
      <c r="X124" s="17" t="s">
        <v>748</v>
      </c>
      <c r="Y124" s="15" t="s">
        <v>779</v>
      </c>
      <c r="Z124" s="17">
        <v>2024</v>
      </c>
      <c r="AA124" s="17" t="s">
        <v>716</v>
      </c>
      <c r="AB124" s="81">
        <v>2024</v>
      </c>
      <c r="AC124" s="16" t="s">
        <v>716</v>
      </c>
      <c r="AD124" s="16" t="s">
        <v>849</v>
      </c>
      <c r="AE124" s="16" t="s">
        <v>867</v>
      </c>
      <c r="AF124" s="16" t="str">
        <f>_xlfn.CONCAT(EjecucionHaciendaDiciembre[[#This Row],[NOMBRE_RUBRO]]," - ",EjecucionHaciendaDiciembre[[#This Row],[NOMBRE_RECURSO]])</f>
        <v>Tierras y terrenos - 1.2.1.0.00 - INGRESOS CORRIENTES DE LIBRE DESTINACION</v>
      </c>
      <c r="AH124" s="1"/>
      <c r="AI124" s="1"/>
      <c r="AJ124" s="1"/>
      <c r="AK124" s="1"/>
      <c r="AL124" s="1"/>
      <c r="AM124" s="1"/>
    </row>
    <row r="125" spans="1:39" ht="14.4" x14ac:dyDescent="0.3">
      <c r="A125" s="14" t="s">
        <v>92</v>
      </c>
      <c r="B125" s="14" t="s">
        <v>158</v>
      </c>
      <c r="C125" s="15"/>
      <c r="D125" s="15"/>
      <c r="E125" s="15"/>
      <c r="F125" s="14"/>
      <c r="G125" s="15"/>
      <c r="H125" s="14"/>
      <c r="I125" s="16">
        <v>57644641014.519997</v>
      </c>
      <c r="J125" s="16">
        <v>50757071179.93</v>
      </c>
      <c r="K125" s="16">
        <v>0</v>
      </c>
      <c r="L125" s="16">
        <v>30742626083.099998</v>
      </c>
      <c r="M125" s="16">
        <v>29355441898.189999</v>
      </c>
      <c r="N125" s="16">
        <v>109788896379.36</v>
      </c>
      <c r="O125" s="16">
        <v>93350060559.220001</v>
      </c>
      <c r="P125" s="16">
        <v>93350060559.220001</v>
      </c>
      <c r="Q125" s="16">
        <v>87865503537.5</v>
      </c>
      <c r="R125" s="16">
        <v>73479515651.199997</v>
      </c>
      <c r="S125" s="16">
        <v>71840338968.300003</v>
      </c>
      <c r="T125" s="16">
        <v>16438835820.139999</v>
      </c>
      <c r="U125" s="17"/>
      <c r="V125" s="86"/>
      <c r="W125" s="17"/>
      <c r="X125" s="17" t="s">
        <v>716</v>
      </c>
      <c r="Y125" s="15"/>
      <c r="Z125" s="17"/>
      <c r="AA125" s="17" t="s">
        <v>716</v>
      </c>
      <c r="AB125" s="81"/>
      <c r="AC125" s="16" t="s">
        <v>716</v>
      </c>
      <c r="AD125" s="16" t="s">
        <v>716</v>
      </c>
      <c r="AE125" s="16" t="s">
        <v>716</v>
      </c>
      <c r="AF125" s="16" t="str">
        <f>_xlfn.CONCAT(EjecucionHaciendaDiciembre[[#This Row],[NOMBRE_RUBRO]]," - ",EjecucionHaciendaDiciembre[[#This Row],[NOMBRE_RECURSO]])</f>
        <v xml:space="preserve">Adquisiciones diferentes de activos - </v>
      </c>
      <c r="AH125" s="1"/>
      <c r="AI125" s="1"/>
      <c r="AJ125" s="1"/>
      <c r="AK125" s="1"/>
      <c r="AL125" s="1"/>
      <c r="AM125" s="1"/>
    </row>
    <row r="126" spans="1:39" ht="14.4" x14ac:dyDescent="0.3">
      <c r="A126" s="14" t="s">
        <v>93</v>
      </c>
      <c r="B126" s="14" t="s">
        <v>159</v>
      </c>
      <c r="C126" s="15"/>
      <c r="D126" s="15"/>
      <c r="E126" s="15"/>
      <c r="F126" s="14"/>
      <c r="G126" s="15"/>
      <c r="H126" s="14"/>
      <c r="I126" s="16">
        <v>1321246438.8</v>
      </c>
      <c r="J126" s="16">
        <v>3535031542.2600002</v>
      </c>
      <c r="K126" s="16">
        <v>0</v>
      </c>
      <c r="L126" s="16">
        <v>1150478077</v>
      </c>
      <c r="M126" s="16">
        <v>551390622</v>
      </c>
      <c r="N126" s="16">
        <v>5455365436.0600004</v>
      </c>
      <c r="O126" s="16">
        <v>4876628110.2299995</v>
      </c>
      <c r="P126" s="16">
        <v>4876628110.2299995</v>
      </c>
      <c r="Q126" s="16">
        <v>4633751762.2299995</v>
      </c>
      <c r="R126" s="16">
        <v>3107185026.48</v>
      </c>
      <c r="S126" s="16">
        <v>2974332516.48</v>
      </c>
      <c r="T126" s="16">
        <v>578737325.83000004</v>
      </c>
      <c r="U126" s="17"/>
      <c r="V126" s="86"/>
      <c r="W126" s="17"/>
      <c r="X126" s="17" t="s">
        <v>716</v>
      </c>
      <c r="Y126" s="15"/>
      <c r="Z126" s="17"/>
      <c r="AA126" s="17" t="s">
        <v>716</v>
      </c>
      <c r="AB126" s="81"/>
      <c r="AC126" s="16" t="s">
        <v>716</v>
      </c>
      <c r="AD126" s="16" t="s">
        <v>716</v>
      </c>
      <c r="AE126" s="16" t="s">
        <v>716</v>
      </c>
      <c r="AF126" s="16" t="str">
        <f>_xlfn.CONCAT(EjecucionHaciendaDiciembre[[#This Row],[NOMBRE_RUBRO]]," - ",EjecucionHaciendaDiciembre[[#This Row],[NOMBRE_RECURSO]])</f>
        <v xml:space="preserve">Materiales y suministros - </v>
      </c>
      <c r="AH126" s="1"/>
      <c r="AI126" s="1"/>
      <c r="AJ126" s="1"/>
      <c r="AK126" s="1"/>
      <c r="AL126" s="1"/>
      <c r="AM126" s="1"/>
    </row>
    <row r="127" spans="1:39" ht="115.2" x14ac:dyDescent="0.3">
      <c r="A127" s="3" t="s">
        <v>94</v>
      </c>
      <c r="B127" s="3" t="s">
        <v>160</v>
      </c>
      <c r="C127" s="2" t="s">
        <v>224</v>
      </c>
      <c r="D127" s="2" t="s">
        <v>300</v>
      </c>
      <c r="E127" s="2" t="s">
        <v>19</v>
      </c>
      <c r="F127" s="3" t="s">
        <v>381</v>
      </c>
      <c r="G127" s="2" t="s">
        <v>433</v>
      </c>
      <c r="H127" s="3" t="s">
        <v>551</v>
      </c>
      <c r="I127" s="4">
        <v>401542764</v>
      </c>
      <c r="J127" s="4">
        <v>128245440</v>
      </c>
      <c r="K127" s="4">
        <v>0</v>
      </c>
      <c r="L127" s="4">
        <v>401542764</v>
      </c>
      <c r="M127" s="4">
        <v>401542764</v>
      </c>
      <c r="N127" s="4">
        <v>529788204</v>
      </c>
      <c r="O127" s="4">
        <v>476047274.97000003</v>
      </c>
      <c r="P127" s="4">
        <v>476047274.97000003</v>
      </c>
      <c r="Q127" s="4">
        <v>476047274.97000003</v>
      </c>
      <c r="R127" s="4">
        <v>406389737</v>
      </c>
      <c r="S127" s="4">
        <v>406389737</v>
      </c>
      <c r="T127" s="4">
        <v>53740929.030000001</v>
      </c>
      <c r="U127" s="23" t="s">
        <v>543</v>
      </c>
      <c r="V127" s="31">
        <v>220107100</v>
      </c>
      <c r="W127" s="17" t="s">
        <v>789</v>
      </c>
      <c r="X127" s="17" t="s">
        <v>748</v>
      </c>
      <c r="Y127" s="15" t="s">
        <v>779</v>
      </c>
      <c r="Z127" s="17">
        <v>2024</v>
      </c>
      <c r="AA127" s="17" t="s">
        <v>716</v>
      </c>
      <c r="AB127" s="81">
        <v>2024</v>
      </c>
      <c r="AC127" s="16" t="s">
        <v>716</v>
      </c>
      <c r="AD127" s="16" t="s">
        <v>847</v>
      </c>
      <c r="AE127" s="16" t="s">
        <v>868</v>
      </c>
      <c r="AF127" s="16" t="str">
        <f>_xlfn.CONCAT(EjecucionHaciendaDiciembre[[#This Row],[NOMBRE_RUBRO]]," - ",EjecucionHaciendaDiciembre[[#This Row],[NOMBRE_RECURSO]])</f>
        <v>Productos alimenticios, bebidas y tabaco; textiles, prendas de vestir y productos de cuero - 1.2.4.1.01 - SGP-EDUCACION-PRESTACION DE SERVICIOS</v>
      </c>
      <c r="AH127" s="1"/>
      <c r="AI127" s="1"/>
      <c r="AJ127" s="1"/>
      <c r="AK127" s="1"/>
      <c r="AL127" s="1"/>
      <c r="AM127" s="1"/>
    </row>
    <row r="128" spans="1:39" ht="86.4" x14ac:dyDescent="0.3">
      <c r="A128" s="3" t="s">
        <v>94</v>
      </c>
      <c r="B128" s="3" t="s">
        <v>160</v>
      </c>
      <c r="C128" s="2" t="s">
        <v>233</v>
      </c>
      <c r="D128" s="2" t="s">
        <v>309</v>
      </c>
      <c r="E128" s="2" t="s">
        <v>371</v>
      </c>
      <c r="F128" s="3" t="s">
        <v>385</v>
      </c>
      <c r="G128" s="2" t="s">
        <v>423</v>
      </c>
      <c r="H128" s="3" t="s">
        <v>623</v>
      </c>
      <c r="I128" s="4">
        <v>0</v>
      </c>
      <c r="J128" s="4">
        <v>0</v>
      </c>
      <c r="K128" s="4">
        <v>0</v>
      </c>
      <c r="L128" s="4">
        <v>20605495</v>
      </c>
      <c r="M128" s="4">
        <v>0</v>
      </c>
      <c r="N128" s="4">
        <v>20605495</v>
      </c>
      <c r="O128" s="4">
        <v>20605495</v>
      </c>
      <c r="P128" s="4">
        <v>20605495</v>
      </c>
      <c r="Q128" s="4">
        <v>19369140</v>
      </c>
      <c r="R128" s="4">
        <v>0</v>
      </c>
      <c r="S128" s="4">
        <v>0</v>
      </c>
      <c r="T128" s="4">
        <v>0</v>
      </c>
      <c r="U128" s="23" t="s">
        <v>624</v>
      </c>
      <c r="V128" s="31">
        <v>459900200</v>
      </c>
      <c r="W128" s="17" t="s">
        <v>788</v>
      </c>
      <c r="X128" s="17" t="s">
        <v>749</v>
      </c>
      <c r="Y128" s="15" t="s">
        <v>781</v>
      </c>
      <c r="Z128" s="17" t="s">
        <v>780</v>
      </c>
      <c r="AA128" s="17" t="s">
        <v>833</v>
      </c>
      <c r="AB128" s="81" t="s">
        <v>780</v>
      </c>
      <c r="AC128" s="16" t="s">
        <v>716</v>
      </c>
      <c r="AD128" s="16" t="s">
        <v>848</v>
      </c>
      <c r="AE128" s="16" t="s">
        <v>855</v>
      </c>
      <c r="AF128" s="16" t="str">
        <f>_xlfn.CONCAT(EjecucionHaciendaDiciembre[[#This Row],[NOMBRE_RUBRO]]," - ",EjecucionHaciendaDiciembre[[#This Row],[NOMBRE_RECURSO]])</f>
        <v>Productos alimenticios, bebidas y tabaco; textiles, prendas de vestir y productos de cuero - 1.2.3.3.03 - APORTES NACION</v>
      </c>
      <c r="AH128" s="1"/>
      <c r="AI128" s="1"/>
      <c r="AJ128" s="1"/>
      <c r="AK128" s="1"/>
      <c r="AL128" s="1"/>
      <c r="AM128" s="1"/>
    </row>
    <row r="129" spans="1:39" ht="43.2" x14ac:dyDescent="0.3">
      <c r="A129" s="36" t="s">
        <v>95</v>
      </c>
      <c r="B129" s="36" t="s">
        <v>161</v>
      </c>
      <c r="C129" s="37" t="s">
        <v>238</v>
      </c>
      <c r="D129" s="37" t="s">
        <v>314</v>
      </c>
      <c r="E129" s="37" t="s">
        <v>224</v>
      </c>
      <c r="F129" s="36" t="s">
        <v>378</v>
      </c>
      <c r="G129" s="37" t="s">
        <v>399</v>
      </c>
      <c r="H129" s="36"/>
      <c r="I129" s="38">
        <v>149847858.80000001</v>
      </c>
      <c r="J129" s="38">
        <v>0</v>
      </c>
      <c r="K129" s="38">
        <v>0</v>
      </c>
      <c r="L129" s="38">
        <v>0</v>
      </c>
      <c r="M129" s="38">
        <v>149847858</v>
      </c>
      <c r="N129" s="38">
        <v>0.8</v>
      </c>
      <c r="O129" s="38">
        <v>0</v>
      </c>
      <c r="P129" s="38">
        <v>0</v>
      </c>
      <c r="Q129" s="38">
        <v>0</v>
      </c>
      <c r="R129" s="38">
        <v>0</v>
      </c>
      <c r="S129" s="38">
        <v>0</v>
      </c>
      <c r="T129" s="38">
        <v>0.8</v>
      </c>
      <c r="U129" s="39"/>
      <c r="V129" s="84"/>
      <c r="W129" s="17"/>
      <c r="X129" s="17" t="s">
        <v>716</v>
      </c>
      <c r="Y129" s="15"/>
      <c r="Z129" s="17"/>
      <c r="AA129" s="17" t="s">
        <v>716</v>
      </c>
      <c r="AB129" s="81"/>
      <c r="AC129" s="16" t="s">
        <v>716</v>
      </c>
      <c r="AD129" s="16" t="s">
        <v>850</v>
      </c>
      <c r="AE129" s="16" t="s">
        <v>855</v>
      </c>
      <c r="AF129" s="16" t="str">
        <f>_xlfn.CONCAT(EjecucionHaciendaDiciembre[[#This Row],[NOMBRE_RUBRO]]," - ",EjecucionHaciendaDiciembre[[#This Row],[NOMBRE_RECURSO]])</f>
        <v>Otros bienes transportables (excepto productos metálicos, maquinaria y equipo) - 1.2.4.2.02 - SGP-SALUD-SALUD PUBLICA</v>
      </c>
      <c r="AH129" s="1"/>
      <c r="AI129" s="1"/>
      <c r="AJ129" s="1"/>
      <c r="AK129" s="1"/>
      <c r="AL129" s="1"/>
      <c r="AM129" s="1"/>
    </row>
    <row r="130" spans="1:39" ht="70.5" customHeight="1" x14ac:dyDescent="0.3">
      <c r="A130" s="3" t="s">
        <v>95</v>
      </c>
      <c r="B130" s="3" t="s">
        <v>161</v>
      </c>
      <c r="C130" s="2" t="s">
        <v>238</v>
      </c>
      <c r="D130" s="2" t="s">
        <v>314</v>
      </c>
      <c r="E130" s="2" t="s">
        <v>224</v>
      </c>
      <c r="F130" s="3" t="s">
        <v>378</v>
      </c>
      <c r="G130" s="2" t="s">
        <v>421</v>
      </c>
      <c r="H130" s="3" t="s">
        <v>567</v>
      </c>
      <c r="I130" s="4">
        <v>400000000</v>
      </c>
      <c r="J130" s="4">
        <v>0</v>
      </c>
      <c r="K130" s="4">
        <v>0</v>
      </c>
      <c r="L130" s="4">
        <v>0</v>
      </c>
      <c r="M130" s="4">
        <v>0</v>
      </c>
      <c r="N130" s="4">
        <v>400000000</v>
      </c>
      <c r="O130" s="4">
        <v>400000000</v>
      </c>
      <c r="P130" s="4">
        <v>400000000</v>
      </c>
      <c r="Q130" s="4">
        <v>400000000</v>
      </c>
      <c r="R130" s="4">
        <v>400000000</v>
      </c>
      <c r="S130" s="4">
        <v>400000000</v>
      </c>
      <c r="T130" s="4">
        <v>0</v>
      </c>
      <c r="U130" s="23" t="s">
        <v>568</v>
      </c>
      <c r="V130" s="31">
        <v>190303500</v>
      </c>
      <c r="W130" s="17" t="s">
        <v>789</v>
      </c>
      <c r="X130" s="17" t="s">
        <v>750</v>
      </c>
      <c r="Y130" s="15" t="s">
        <v>779</v>
      </c>
      <c r="Z130" s="17">
        <v>2024</v>
      </c>
      <c r="AA130" s="17" t="s">
        <v>716</v>
      </c>
      <c r="AB130" s="81">
        <v>2024</v>
      </c>
      <c r="AC130" s="16" t="s">
        <v>716</v>
      </c>
      <c r="AD130" s="16" t="s">
        <v>850</v>
      </c>
      <c r="AE130" s="16" t="s">
        <v>865</v>
      </c>
      <c r="AF130" s="16" t="str">
        <f>_xlfn.CONCAT(EjecucionHaciendaDiciembre[[#This Row],[NOMBRE_RUBRO]]," - ",EjecucionHaciendaDiciembre[[#This Row],[NOMBRE_RECURSO]])</f>
        <v>Otros bienes transportables (excepto productos metálicos, maquinaria y equipo) - 1.2.4.2.02 - SGP-SALUD-SALUD PUBLICA</v>
      </c>
      <c r="AH130" s="1"/>
      <c r="AI130" s="1"/>
      <c r="AJ130" s="1"/>
      <c r="AK130" s="1"/>
      <c r="AL130" s="1"/>
      <c r="AM130" s="1"/>
    </row>
    <row r="131" spans="1:39" ht="70.5" customHeight="1" x14ac:dyDescent="0.3">
      <c r="A131" s="3" t="s">
        <v>95</v>
      </c>
      <c r="B131" s="3" t="s">
        <v>161</v>
      </c>
      <c r="C131" s="2" t="s">
        <v>238</v>
      </c>
      <c r="D131" s="2" t="s">
        <v>314</v>
      </c>
      <c r="E131" s="2" t="s">
        <v>224</v>
      </c>
      <c r="F131" s="3" t="s">
        <v>378</v>
      </c>
      <c r="G131" s="2" t="s">
        <v>422</v>
      </c>
      <c r="H131" s="3" t="s">
        <v>569</v>
      </c>
      <c r="I131" s="4">
        <v>0</v>
      </c>
      <c r="J131" s="4">
        <v>0</v>
      </c>
      <c r="K131" s="4">
        <v>0</v>
      </c>
      <c r="L131" s="4">
        <v>728329818</v>
      </c>
      <c r="M131" s="4">
        <v>0</v>
      </c>
      <c r="N131" s="4">
        <v>728329818</v>
      </c>
      <c r="O131" s="4">
        <v>728329818</v>
      </c>
      <c r="P131" s="4">
        <v>728329818</v>
      </c>
      <c r="Q131" s="4">
        <v>531267021</v>
      </c>
      <c r="R131" s="4">
        <v>531267021</v>
      </c>
      <c r="S131" s="4">
        <v>399202011</v>
      </c>
      <c r="T131" s="4">
        <v>0</v>
      </c>
      <c r="U131" s="23" t="s">
        <v>568</v>
      </c>
      <c r="V131" s="24">
        <v>190303500</v>
      </c>
      <c r="W131" s="17" t="s">
        <v>789</v>
      </c>
      <c r="X131" s="17" t="s">
        <v>750</v>
      </c>
      <c r="Y131" s="15" t="s">
        <v>779</v>
      </c>
      <c r="Z131" s="17">
        <v>2024</v>
      </c>
      <c r="AA131" s="17" t="s">
        <v>716</v>
      </c>
      <c r="AB131" s="81">
        <v>2024</v>
      </c>
      <c r="AC131" s="16" t="s">
        <v>716</v>
      </c>
      <c r="AD131" s="16" t="s">
        <v>850</v>
      </c>
      <c r="AE131" s="16" t="s">
        <v>855</v>
      </c>
      <c r="AF131" s="16" t="str">
        <f>_xlfn.CONCAT(EjecucionHaciendaDiciembre[[#This Row],[NOMBRE_RUBRO]]," - ",EjecucionHaciendaDiciembre[[#This Row],[NOMBRE_RECURSO]])</f>
        <v>Otros bienes transportables (excepto productos metálicos, maquinaria y equipo) - 1.2.4.2.02 - SGP-SALUD-SALUD PUBLICA</v>
      </c>
      <c r="AH131" s="1"/>
      <c r="AI131" s="1"/>
      <c r="AJ131" s="1"/>
      <c r="AK131" s="1"/>
      <c r="AL131" s="1"/>
      <c r="AM131" s="1"/>
    </row>
    <row r="132" spans="1:39" ht="70.5" customHeight="1" x14ac:dyDescent="0.3">
      <c r="A132" s="3" t="s">
        <v>95</v>
      </c>
      <c r="B132" s="3" t="s">
        <v>161</v>
      </c>
      <c r="C132" s="2" t="s">
        <v>238</v>
      </c>
      <c r="D132" s="2" t="s">
        <v>314</v>
      </c>
      <c r="E132" s="2" t="s">
        <v>224</v>
      </c>
      <c r="F132" s="3" t="s">
        <v>378</v>
      </c>
      <c r="G132" s="2" t="s">
        <v>434</v>
      </c>
      <c r="H132" s="3" t="s">
        <v>570</v>
      </c>
      <c r="I132" s="4">
        <v>0</v>
      </c>
      <c r="J132" s="4">
        <v>27130603.5</v>
      </c>
      <c r="K132" s="4">
        <v>0</v>
      </c>
      <c r="L132" s="4">
        <v>0</v>
      </c>
      <c r="M132" s="4">
        <v>0</v>
      </c>
      <c r="N132" s="4">
        <v>27130603.5</v>
      </c>
      <c r="O132" s="4">
        <v>27130603.5</v>
      </c>
      <c r="P132" s="4">
        <v>27130603.5</v>
      </c>
      <c r="Q132" s="4">
        <v>27130603.5</v>
      </c>
      <c r="R132" s="4">
        <v>27130603</v>
      </c>
      <c r="S132" s="4">
        <v>27130603</v>
      </c>
      <c r="T132" s="4">
        <v>0</v>
      </c>
      <c r="U132" s="23" t="s">
        <v>571</v>
      </c>
      <c r="V132" s="31">
        <v>190505000</v>
      </c>
      <c r="W132" s="17" t="s">
        <v>789</v>
      </c>
      <c r="X132" s="17" t="s">
        <v>750</v>
      </c>
      <c r="Y132" s="15" t="s">
        <v>779</v>
      </c>
      <c r="Z132" s="17">
        <v>2024</v>
      </c>
      <c r="AA132" s="17" t="s">
        <v>716</v>
      </c>
      <c r="AB132" s="81">
        <v>2024</v>
      </c>
      <c r="AC132" s="16" t="s">
        <v>716</v>
      </c>
      <c r="AD132" s="16" t="s">
        <v>850</v>
      </c>
      <c r="AE132" s="16" t="s">
        <v>855</v>
      </c>
      <c r="AF132" s="16" t="str">
        <f>_xlfn.CONCAT(EjecucionHaciendaDiciembre[[#This Row],[NOMBRE_RUBRO]]," - ",EjecucionHaciendaDiciembre[[#This Row],[NOMBRE_RECURSO]])</f>
        <v>Otros bienes transportables (excepto productos metálicos, maquinaria y equipo) - 1.2.4.2.02 - SGP-SALUD-SALUD PUBLICA</v>
      </c>
      <c r="AH132" s="1"/>
      <c r="AI132" s="1"/>
      <c r="AJ132" s="1"/>
      <c r="AK132" s="1"/>
      <c r="AL132" s="1"/>
      <c r="AM132" s="1"/>
    </row>
    <row r="133" spans="1:39" ht="43.2" x14ac:dyDescent="0.3">
      <c r="A133" s="40" t="s">
        <v>95</v>
      </c>
      <c r="B133" s="40" t="s">
        <v>161</v>
      </c>
      <c r="C133" s="41" t="s">
        <v>233</v>
      </c>
      <c r="D133" s="41" t="s">
        <v>309</v>
      </c>
      <c r="E133" s="41" t="s">
        <v>224</v>
      </c>
      <c r="F133" s="40" t="s">
        <v>378</v>
      </c>
      <c r="G133" s="41" t="s">
        <v>435</v>
      </c>
      <c r="H133" s="40" t="s">
        <v>572</v>
      </c>
      <c r="I133" s="42">
        <v>0</v>
      </c>
      <c r="J133" s="42">
        <v>24720821</v>
      </c>
      <c r="K133" s="42">
        <v>0</v>
      </c>
      <c r="L133" s="42">
        <v>0</v>
      </c>
      <c r="M133" s="42">
        <v>0</v>
      </c>
      <c r="N133" s="42">
        <v>24720821</v>
      </c>
      <c r="O133" s="42">
        <v>24720821</v>
      </c>
      <c r="P133" s="43">
        <v>24720821</v>
      </c>
      <c r="Q133" s="42">
        <v>0</v>
      </c>
      <c r="R133" s="42">
        <v>0</v>
      </c>
      <c r="S133" s="42">
        <v>0</v>
      </c>
      <c r="T133" s="42">
        <v>0</v>
      </c>
      <c r="U133" s="44" t="s">
        <v>573</v>
      </c>
      <c r="V133" s="45">
        <v>190502600</v>
      </c>
      <c r="W133" s="17" t="s">
        <v>799</v>
      </c>
      <c r="X133" s="17" t="s">
        <v>750</v>
      </c>
      <c r="Y133" s="15" t="s">
        <v>779</v>
      </c>
      <c r="Z133" s="17">
        <v>2024</v>
      </c>
      <c r="AA133" s="17" t="s">
        <v>716</v>
      </c>
      <c r="AB133" s="81">
        <v>2024</v>
      </c>
      <c r="AC133" s="16" t="s">
        <v>716</v>
      </c>
      <c r="AD133" s="16" t="s">
        <v>848</v>
      </c>
      <c r="AE133" s="16" t="s">
        <v>855</v>
      </c>
      <c r="AF133" s="16" t="str">
        <f>_xlfn.CONCAT(EjecucionHaciendaDiciembre[[#This Row],[NOMBRE_RUBRO]]," - ",EjecucionHaciendaDiciembre[[#This Row],[NOMBRE_RECURSO]])</f>
        <v>Otros bienes transportables (excepto productos metálicos, maquinaria y equipo) - 1.2.3.3.03 - APORTES NACION</v>
      </c>
      <c r="AH133" s="1"/>
      <c r="AI133" s="1"/>
      <c r="AJ133" s="1"/>
      <c r="AK133" s="1"/>
      <c r="AL133" s="1"/>
      <c r="AM133" s="1"/>
    </row>
    <row r="134" spans="1:39" ht="90" customHeight="1" x14ac:dyDescent="0.3">
      <c r="A134" s="3" t="s">
        <v>95</v>
      </c>
      <c r="B134" s="3" t="s">
        <v>161</v>
      </c>
      <c r="C134" s="2" t="s">
        <v>244</v>
      </c>
      <c r="D134" s="2" t="s">
        <v>320</v>
      </c>
      <c r="E134" s="2" t="s">
        <v>224</v>
      </c>
      <c r="F134" s="3" t="s">
        <v>378</v>
      </c>
      <c r="G134" s="2" t="s">
        <v>436</v>
      </c>
      <c r="H134" s="3" t="s">
        <v>574</v>
      </c>
      <c r="I134" s="4">
        <v>0</v>
      </c>
      <c r="J134" s="4">
        <v>505121643.75999999</v>
      </c>
      <c r="K134" s="4">
        <v>0</v>
      </c>
      <c r="L134" s="4">
        <v>0</v>
      </c>
      <c r="M134" s="4">
        <v>0</v>
      </c>
      <c r="N134" s="4">
        <v>505121643.75999999</v>
      </c>
      <c r="O134" s="4">
        <v>505121643.75999999</v>
      </c>
      <c r="P134" s="4">
        <v>505121643.75999999</v>
      </c>
      <c r="Q134" s="4">
        <v>505121643.75999999</v>
      </c>
      <c r="R134" s="4">
        <v>396970393.88</v>
      </c>
      <c r="S134" s="4">
        <v>396970393.88</v>
      </c>
      <c r="T134" s="4">
        <v>0</v>
      </c>
      <c r="U134" s="23" t="s">
        <v>575</v>
      </c>
      <c r="V134" s="31">
        <v>190504300</v>
      </c>
      <c r="W134" s="17"/>
      <c r="X134" s="17" t="s">
        <v>750</v>
      </c>
      <c r="Y134" s="15" t="s">
        <v>779</v>
      </c>
      <c r="Z134" s="17">
        <v>2024</v>
      </c>
      <c r="AA134" s="17" t="s">
        <v>716</v>
      </c>
      <c r="AB134" s="81">
        <v>2024</v>
      </c>
      <c r="AC134" s="16" t="s">
        <v>716</v>
      </c>
      <c r="AD134" s="16" t="s">
        <v>850</v>
      </c>
      <c r="AE134" s="16" t="s">
        <v>855</v>
      </c>
      <c r="AF134" s="16" t="str">
        <f>_xlfn.CONCAT(EjecucionHaciendaDiciembre[[#This Row],[NOMBRE_RUBRO]]," - ",EjecucionHaciendaDiciembre[[#This Row],[NOMBRE_RECURSO]])</f>
        <v>Otros bienes transportables (excepto productos metálicos, maquinaria y equipo) - 1.3.3.7.02-R.B. SGP-SALUD-SALUD PUBLICA</v>
      </c>
      <c r="AH134" s="1"/>
      <c r="AI134" s="1"/>
      <c r="AJ134" s="1"/>
      <c r="AK134" s="1"/>
      <c r="AL134" s="1"/>
      <c r="AM134" s="1"/>
    </row>
    <row r="135" spans="1:39" ht="43.2" x14ac:dyDescent="0.3">
      <c r="A135" s="3" t="s">
        <v>95</v>
      </c>
      <c r="B135" s="3" t="s">
        <v>161</v>
      </c>
      <c r="C135" s="2" t="s">
        <v>244</v>
      </c>
      <c r="D135" s="2" t="s">
        <v>320</v>
      </c>
      <c r="E135" s="2" t="s">
        <v>224</v>
      </c>
      <c r="F135" s="3" t="s">
        <v>378</v>
      </c>
      <c r="G135" s="2" t="s">
        <v>810</v>
      </c>
      <c r="H135" s="3" t="s">
        <v>809</v>
      </c>
      <c r="I135" s="4">
        <v>0</v>
      </c>
      <c r="J135" s="4">
        <v>2322542734</v>
      </c>
      <c r="K135" s="4">
        <v>0</v>
      </c>
      <c r="L135" s="4">
        <v>0</v>
      </c>
      <c r="M135" s="4">
        <v>0</v>
      </c>
      <c r="N135" s="4">
        <v>2322542734</v>
      </c>
      <c r="O135" s="4">
        <v>2322542734</v>
      </c>
      <c r="P135" s="4">
        <v>2322542734</v>
      </c>
      <c r="Q135" s="4">
        <v>2322542734</v>
      </c>
      <c r="R135" s="4">
        <v>1000000493.6</v>
      </c>
      <c r="S135" s="4">
        <v>1000000493.6</v>
      </c>
      <c r="T135" s="4">
        <v>0</v>
      </c>
      <c r="U135" s="23"/>
      <c r="V135" s="24"/>
      <c r="W135" s="17"/>
      <c r="X135" s="17" t="s">
        <v>716</v>
      </c>
      <c r="Y135" s="15"/>
      <c r="Z135" s="17">
        <v>2024</v>
      </c>
      <c r="AA135" s="17" t="s">
        <v>833</v>
      </c>
      <c r="AB135" s="81">
        <v>2024</v>
      </c>
      <c r="AC135" s="16" t="s">
        <v>716</v>
      </c>
      <c r="AD135" s="16" t="s">
        <v>850</v>
      </c>
      <c r="AE135" s="16" t="s">
        <v>716</v>
      </c>
      <c r="AF135" s="16" t="str">
        <f>_xlfn.CONCAT(EjecucionHaciendaDiciembre[[#This Row],[NOMBRE_RUBRO]]," - ",EjecucionHaciendaDiciembre[[#This Row],[NOMBRE_RECURSO]])</f>
        <v>Otros bienes transportables (excepto productos metálicos, maquinaria y equipo) - 1.3.3.7.02-R.B. SGP-SALUD-SALUD PUBLICA</v>
      </c>
      <c r="AH135" s="1"/>
      <c r="AI135" s="1"/>
      <c r="AJ135" s="1"/>
      <c r="AK135" s="1"/>
      <c r="AL135" s="1"/>
      <c r="AM135" s="1"/>
    </row>
    <row r="136" spans="1:39" ht="57.6" x14ac:dyDescent="0.3">
      <c r="A136" s="48" t="s">
        <v>95</v>
      </c>
      <c r="B136" s="48" t="s">
        <v>161</v>
      </c>
      <c r="C136" s="49" t="s">
        <v>245</v>
      </c>
      <c r="D136" s="49" t="s">
        <v>321</v>
      </c>
      <c r="E136" s="49" t="s">
        <v>224</v>
      </c>
      <c r="F136" s="48" t="s">
        <v>378</v>
      </c>
      <c r="G136" s="49" t="s">
        <v>399</v>
      </c>
      <c r="H136" s="48" t="s">
        <v>539</v>
      </c>
      <c r="I136" s="50">
        <v>276980000</v>
      </c>
      <c r="J136" s="50">
        <v>0</v>
      </c>
      <c r="K136" s="50">
        <v>0</v>
      </c>
      <c r="L136" s="50">
        <v>0</v>
      </c>
      <c r="M136" s="50">
        <v>0</v>
      </c>
      <c r="N136" s="50">
        <v>276980000</v>
      </c>
      <c r="O136" s="50">
        <v>276980000</v>
      </c>
      <c r="P136" s="50">
        <v>276980000</v>
      </c>
      <c r="Q136" s="50">
        <v>261087500</v>
      </c>
      <c r="R136" s="50">
        <v>256220833</v>
      </c>
      <c r="S136" s="50">
        <v>256220833</v>
      </c>
      <c r="T136" s="50">
        <v>0</v>
      </c>
      <c r="U136" s="51" t="s">
        <v>717</v>
      </c>
      <c r="V136" s="52">
        <v>190600400</v>
      </c>
      <c r="W136" s="17"/>
      <c r="X136" s="17" t="s">
        <v>716</v>
      </c>
      <c r="Y136" s="15"/>
      <c r="Z136" s="17"/>
      <c r="AA136" s="17" t="s">
        <v>716</v>
      </c>
      <c r="AB136" s="81"/>
      <c r="AC136" s="16" t="s">
        <v>716</v>
      </c>
      <c r="AD136" s="16" t="s">
        <v>848</v>
      </c>
      <c r="AE136" s="16" t="s">
        <v>855</v>
      </c>
      <c r="AF136" s="16" t="str">
        <f>_xlfn.CONCAT(EjecucionHaciendaDiciembre[[#This Row],[NOMBRE_RUBRO]]," - ",EjecucionHaciendaDiciembre[[#This Row],[NOMBRE_RECURSO]])</f>
        <v>Otros bienes transportables (excepto productos metálicos, maquinaria y equipo) - 1.2.3.2.27-VENTA DE BIENES Y SERVICIOS CON DESTINACION-VENTA DE MEDCAMENTOS- FRE</v>
      </c>
      <c r="AH136" s="1"/>
      <c r="AI136" s="1"/>
      <c r="AJ136" s="1"/>
      <c r="AK136" s="1"/>
      <c r="AL136" s="1"/>
      <c r="AM136" s="1"/>
    </row>
    <row r="137" spans="1:39" ht="57.6" x14ac:dyDescent="0.3">
      <c r="A137" s="48" t="s">
        <v>95</v>
      </c>
      <c r="B137" s="48" t="s">
        <v>161</v>
      </c>
      <c r="C137" s="49" t="s">
        <v>246</v>
      </c>
      <c r="D137" s="49" t="s">
        <v>322</v>
      </c>
      <c r="E137" s="49" t="s">
        <v>224</v>
      </c>
      <c r="F137" s="48" t="s">
        <v>378</v>
      </c>
      <c r="G137" s="49" t="s">
        <v>399</v>
      </c>
      <c r="H137" s="48" t="s">
        <v>539</v>
      </c>
      <c r="I137" s="50">
        <v>92875816</v>
      </c>
      <c r="J137" s="50">
        <v>0</v>
      </c>
      <c r="K137" s="50">
        <v>0</v>
      </c>
      <c r="L137" s="50">
        <v>0</v>
      </c>
      <c r="M137" s="50">
        <v>0</v>
      </c>
      <c r="N137" s="50">
        <v>92875816</v>
      </c>
      <c r="O137" s="50">
        <v>0</v>
      </c>
      <c r="P137" s="50">
        <v>0</v>
      </c>
      <c r="Q137" s="50">
        <v>0</v>
      </c>
      <c r="R137" s="50">
        <v>0</v>
      </c>
      <c r="S137" s="50">
        <v>0</v>
      </c>
      <c r="T137" s="50">
        <v>92875816</v>
      </c>
      <c r="U137" s="51"/>
      <c r="V137" s="52">
        <v>1906</v>
      </c>
      <c r="W137" s="17" t="s">
        <v>800</v>
      </c>
      <c r="X137" s="17" t="s">
        <v>716</v>
      </c>
      <c r="Y137" s="15"/>
      <c r="Z137" s="17"/>
      <c r="AA137" s="17" t="s">
        <v>716</v>
      </c>
      <c r="AB137" s="81"/>
      <c r="AC137" s="16" t="s">
        <v>716</v>
      </c>
      <c r="AD137" s="16" t="s">
        <v>848</v>
      </c>
      <c r="AE137" s="16" t="s">
        <v>855</v>
      </c>
      <c r="AF137" s="16" t="str">
        <f>_xlfn.CONCAT(EjecucionHaciendaDiciembre[[#This Row],[NOMBRE_RUBRO]]," - ",EjecucionHaciendaDiciembre[[#This Row],[NOMBRE_RECURSO]])</f>
        <v>Otros bienes transportables (excepto productos metálicos, maquinaria y equipo) - 1.2.3.2.27-VENTA DE BIENES Y SERVICIOS CON DESTINACION- VENTA TARGETAS</v>
      </c>
      <c r="AH137" s="1"/>
      <c r="AI137" s="1"/>
      <c r="AJ137" s="1"/>
      <c r="AK137" s="1"/>
      <c r="AL137" s="1"/>
      <c r="AM137" s="1"/>
    </row>
    <row r="138" spans="1:39" ht="43.2" x14ac:dyDescent="0.3">
      <c r="A138" s="48" t="s">
        <v>95</v>
      </c>
      <c r="B138" s="48" t="s">
        <v>161</v>
      </c>
      <c r="C138" s="49" t="s">
        <v>247</v>
      </c>
      <c r="D138" s="49" t="s">
        <v>323</v>
      </c>
      <c r="E138" s="49" t="s">
        <v>224</v>
      </c>
      <c r="F138" s="48" t="s">
        <v>378</v>
      </c>
      <c r="G138" s="49" t="s">
        <v>399</v>
      </c>
      <c r="H138" s="48" t="s">
        <v>539</v>
      </c>
      <c r="I138" s="50">
        <v>0</v>
      </c>
      <c r="J138" s="50">
        <v>9345264</v>
      </c>
      <c r="K138" s="50">
        <v>0</v>
      </c>
      <c r="L138" s="50">
        <v>0</v>
      </c>
      <c r="M138" s="50">
        <v>0</v>
      </c>
      <c r="N138" s="50">
        <v>9345264</v>
      </c>
      <c r="O138" s="50">
        <v>9345264</v>
      </c>
      <c r="P138" s="50">
        <v>9345264</v>
      </c>
      <c r="Q138" s="50">
        <v>5381389</v>
      </c>
      <c r="R138" s="50">
        <v>3401489</v>
      </c>
      <c r="S138" s="50">
        <v>2613989</v>
      </c>
      <c r="T138" s="50">
        <v>0</v>
      </c>
      <c r="U138" s="51"/>
      <c r="V138" s="52"/>
      <c r="W138" s="17" t="s">
        <v>801</v>
      </c>
      <c r="X138" s="17" t="s">
        <v>716</v>
      </c>
      <c r="Y138" s="15"/>
      <c r="Z138" s="17"/>
      <c r="AA138" s="17" t="s">
        <v>716</v>
      </c>
      <c r="AB138" s="81"/>
      <c r="AC138" s="16" t="s">
        <v>716</v>
      </c>
      <c r="AD138" s="16" t="s">
        <v>848</v>
      </c>
      <c r="AE138" s="16" t="s">
        <v>855</v>
      </c>
      <c r="AF138" s="16" t="str">
        <f>_xlfn.CONCAT(EjecucionHaciendaDiciembre[[#This Row],[NOMBRE_RUBRO]]," - ",EjecucionHaciendaDiciembre[[#This Row],[NOMBRE_RECURSO]])</f>
        <v>Otros bienes transportables (excepto productos metálicos, maquinaria y equipo) - 1.3.2.3.11-R.F. FONDO ROTATORIO</v>
      </c>
      <c r="AH138" s="1"/>
      <c r="AI138" s="1"/>
      <c r="AJ138" s="1"/>
      <c r="AK138" s="1"/>
      <c r="AL138" s="1"/>
      <c r="AM138" s="1"/>
    </row>
    <row r="139" spans="1:39" ht="43.2" x14ac:dyDescent="0.3">
      <c r="A139" s="48" t="s">
        <v>95</v>
      </c>
      <c r="B139" s="48" t="s">
        <v>161</v>
      </c>
      <c r="C139" s="49" t="s">
        <v>220</v>
      </c>
      <c r="D139" s="49" t="s">
        <v>296</v>
      </c>
      <c r="E139" s="49" t="s">
        <v>224</v>
      </c>
      <c r="F139" s="48" t="s">
        <v>378</v>
      </c>
      <c r="G139" s="49" t="s">
        <v>399</v>
      </c>
      <c r="H139" s="48" t="s">
        <v>539</v>
      </c>
      <c r="I139" s="50">
        <v>0</v>
      </c>
      <c r="J139" s="50">
        <v>517925036</v>
      </c>
      <c r="K139" s="50">
        <v>0</v>
      </c>
      <c r="L139" s="50">
        <v>0</v>
      </c>
      <c r="M139" s="50">
        <v>0</v>
      </c>
      <c r="N139" s="50">
        <v>517925036</v>
      </c>
      <c r="O139" s="50">
        <v>85804456</v>
      </c>
      <c r="P139" s="50">
        <v>85804456</v>
      </c>
      <c r="Q139" s="50">
        <v>85804456</v>
      </c>
      <c r="R139" s="50">
        <v>85804456</v>
      </c>
      <c r="S139" s="50">
        <v>85804456</v>
      </c>
      <c r="T139" s="50">
        <v>432120580</v>
      </c>
      <c r="U139" s="51"/>
      <c r="V139" s="52"/>
      <c r="W139" s="17" t="s">
        <v>802</v>
      </c>
      <c r="X139" s="17" t="s">
        <v>716</v>
      </c>
      <c r="Y139" s="15"/>
      <c r="Z139" s="17"/>
      <c r="AA139" s="17" t="s">
        <v>716</v>
      </c>
      <c r="AB139" s="81"/>
      <c r="AC139" s="16" t="s">
        <v>716</v>
      </c>
      <c r="AD139" s="16" t="s">
        <v>848</v>
      </c>
      <c r="AE139" s="16" t="s">
        <v>855</v>
      </c>
      <c r="AF139" s="16" t="str">
        <f>_xlfn.CONCAT(EjecucionHaciendaDiciembre[[#This Row],[NOMBRE_RUBRO]]," - ",EjecucionHaciendaDiciembre[[#This Row],[NOMBRE_RECURSO]])</f>
        <v>Otros bienes transportables (excepto productos metálicos, maquinaria y equipo) - 1.3.2.3.11-R.B. FONDO ROTATORIO</v>
      </c>
      <c r="AH139" s="1"/>
      <c r="AI139" s="1"/>
      <c r="AJ139" s="1"/>
      <c r="AK139" s="1"/>
      <c r="AL139" s="1"/>
      <c r="AM139" s="1"/>
    </row>
    <row r="140" spans="1:39" ht="14.4" x14ac:dyDescent="0.3">
      <c r="A140" s="14" t="s">
        <v>96</v>
      </c>
      <c r="B140" s="14" t="s">
        <v>162</v>
      </c>
      <c r="C140" s="15"/>
      <c r="D140" s="15"/>
      <c r="E140" s="15"/>
      <c r="F140" s="14"/>
      <c r="G140" s="15"/>
      <c r="H140" s="14"/>
      <c r="I140" s="16">
        <v>56323394575.720001</v>
      </c>
      <c r="J140" s="16">
        <v>47222039637.669998</v>
      </c>
      <c r="K140" s="16">
        <v>0</v>
      </c>
      <c r="L140" s="16">
        <v>29592148006.099998</v>
      </c>
      <c r="M140" s="16">
        <v>28804051276.189999</v>
      </c>
      <c r="N140" s="16">
        <v>104333530943.3</v>
      </c>
      <c r="O140" s="16">
        <v>88473432448.990005</v>
      </c>
      <c r="P140" s="16">
        <v>88473432448.990005</v>
      </c>
      <c r="Q140" s="16">
        <v>83231751775.270004</v>
      </c>
      <c r="R140" s="16">
        <v>70372330624.720001</v>
      </c>
      <c r="S140" s="16">
        <v>68866006451.820007</v>
      </c>
      <c r="T140" s="16">
        <v>15860098494.309999</v>
      </c>
      <c r="U140" s="17"/>
      <c r="V140" s="86"/>
      <c r="W140" s="17"/>
      <c r="X140" s="17" t="s">
        <v>716</v>
      </c>
      <c r="Y140" s="15"/>
      <c r="Z140" s="17"/>
      <c r="AA140" s="17" t="s">
        <v>716</v>
      </c>
      <c r="AB140" s="81"/>
      <c r="AC140" s="16" t="s">
        <v>716</v>
      </c>
      <c r="AD140" s="16" t="s">
        <v>716</v>
      </c>
      <c r="AE140" s="16" t="s">
        <v>716</v>
      </c>
      <c r="AF140" s="16" t="str">
        <f>_xlfn.CONCAT(EjecucionHaciendaDiciembre[[#This Row],[NOMBRE_RUBRO]]," - ",EjecucionHaciendaDiciembre[[#This Row],[NOMBRE_RECURSO]])</f>
        <v xml:space="preserve">Adquisición de servicios - </v>
      </c>
      <c r="AH140" s="1"/>
      <c r="AI140" s="1"/>
      <c r="AJ140" s="1"/>
      <c r="AK140" s="1"/>
      <c r="AL140" s="1"/>
      <c r="AM140" s="1"/>
    </row>
    <row r="141" spans="1:39" ht="72" x14ac:dyDescent="0.3">
      <c r="A141" s="3" t="s">
        <v>97</v>
      </c>
      <c r="B141" s="3" t="s">
        <v>163</v>
      </c>
      <c r="C141" s="2" t="s">
        <v>215</v>
      </c>
      <c r="D141" s="2" t="s">
        <v>291</v>
      </c>
      <c r="E141" s="2" t="s">
        <v>19</v>
      </c>
      <c r="F141" s="3" t="s">
        <v>381</v>
      </c>
      <c r="G141" s="2" t="s">
        <v>437</v>
      </c>
      <c r="H141" s="3" t="s">
        <v>552</v>
      </c>
      <c r="I141" s="4">
        <v>420000000</v>
      </c>
      <c r="J141" s="4">
        <v>0</v>
      </c>
      <c r="K141" s="4">
        <v>0</v>
      </c>
      <c r="L141" s="4">
        <v>0</v>
      </c>
      <c r="M141" s="4">
        <v>0</v>
      </c>
      <c r="N141" s="4">
        <v>420000000</v>
      </c>
      <c r="O141" s="4">
        <v>420000000</v>
      </c>
      <c r="P141" s="4">
        <v>420000000</v>
      </c>
      <c r="Q141" s="4">
        <v>413700000</v>
      </c>
      <c r="R141" s="4">
        <v>413700000</v>
      </c>
      <c r="S141" s="4">
        <v>413700000</v>
      </c>
      <c r="T141" s="4">
        <v>0</v>
      </c>
      <c r="U141" s="23" t="s">
        <v>553</v>
      </c>
      <c r="V141" s="31">
        <v>220102800</v>
      </c>
      <c r="W141" s="17" t="s">
        <v>827</v>
      </c>
      <c r="X141" s="17" t="s">
        <v>748</v>
      </c>
      <c r="Y141" s="15" t="s">
        <v>779</v>
      </c>
      <c r="Z141" s="17">
        <v>2024</v>
      </c>
      <c r="AA141" s="17" t="s">
        <v>716</v>
      </c>
      <c r="AB141" s="81">
        <v>2024</v>
      </c>
      <c r="AC141" s="16" t="s">
        <v>716</v>
      </c>
      <c r="AD141" s="16" t="s">
        <v>849</v>
      </c>
      <c r="AE141" s="16" t="s">
        <v>855</v>
      </c>
      <c r="AF141" s="16" t="str">
        <f>_xlfn.CONCAT(EjecucionHaciendaDiciembre[[#This Row],[NOMBRE_RUBRO]]," - ",EjecucionHaciendaDiciembre[[#This Row],[NOMBRE_RECURSO]])</f>
        <v>Servicios de alojamiento; servicios de suministro de comidas y bebidas; servicios de transporte; y servicios de distribución de electricidad, gas y agua - 1.2.1.0.00 - INGRESOS CORRIENTES DE LIBRE DESTINACION</v>
      </c>
      <c r="AH141" s="1"/>
      <c r="AI141" s="1"/>
      <c r="AJ141" s="1"/>
      <c r="AK141" s="1"/>
      <c r="AL141" s="1"/>
      <c r="AM141" s="1"/>
    </row>
    <row r="142" spans="1:39" ht="57.6" x14ac:dyDescent="0.3">
      <c r="A142" s="3" t="s">
        <v>97</v>
      </c>
      <c r="B142" s="3" t="s">
        <v>163</v>
      </c>
      <c r="C142" s="2" t="s">
        <v>238</v>
      </c>
      <c r="D142" s="2" t="s">
        <v>314</v>
      </c>
      <c r="E142" s="2" t="s">
        <v>224</v>
      </c>
      <c r="F142" s="3" t="s">
        <v>378</v>
      </c>
      <c r="G142" s="2" t="s">
        <v>438</v>
      </c>
      <c r="H142" s="3" t="s">
        <v>576</v>
      </c>
      <c r="I142" s="4">
        <v>100000000</v>
      </c>
      <c r="J142" s="4">
        <v>0</v>
      </c>
      <c r="K142" s="4">
        <v>0</v>
      </c>
      <c r="L142" s="4">
        <v>0</v>
      </c>
      <c r="M142" s="4">
        <v>0</v>
      </c>
      <c r="N142" s="4">
        <v>100000000</v>
      </c>
      <c r="O142" s="4">
        <v>100000000</v>
      </c>
      <c r="P142" s="4">
        <v>100000000</v>
      </c>
      <c r="Q142" s="4">
        <v>99633305</v>
      </c>
      <c r="R142" s="4">
        <v>0</v>
      </c>
      <c r="S142" s="4">
        <v>0</v>
      </c>
      <c r="T142" s="4">
        <v>0</v>
      </c>
      <c r="U142" s="23" t="s">
        <v>577</v>
      </c>
      <c r="V142" s="31">
        <v>190303500</v>
      </c>
      <c r="W142" s="17"/>
      <c r="X142" s="17" t="s">
        <v>750</v>
      </c>
      <c r="Y142" s="15" t="s">
        <v>779</v>
      </c>
      <c r="Z142" s="17">
        <v>2024</v>
      </c>
      <c r="AA142" s="17" t="s">
        <v>716</v>
      </c>
      <c r="AB142" s="81">
        <v>2024</v>
      </c>
      <c r="AC142" s="16" t="s">
        <v>716</v>
      </c>
      <c r="AD142" s="16" t="s">
        <v>850</v>
      </c>
      <c r="AE142" s="16" t="s">
        <v>855</v>
      </c>
      <c r="AF142" s="16" t="str">
        <f>_xlfn.CONCAT(EjecucionHaciendaDiciembre[[#This Row],[NOMBRE_RUBRO]]," - ",EjecucionHaciendaDiciembre[[#This Row],[NOMBRE_RECURSO]])</f>
        <v>Servicios de alojamiento; servicios de suministro de comidas y bebidas; servicios de transporte; y servicios de distribución de electricidad, gas y agua - 1.2.4.2.02 - SGP-SALUD-SALUD PUBLICA</v>
      </c>
      <c r="AH142" s="1"/>
      <c r="AI142" s="1"/>
      <c r="AJ142" s="1"/>
      <c r="AK142" s="1"/>
      <c r="AL142" s="1"/>
      <c r="AM142" s="1"/>
    </row>
    <row r="143" spans="1:39" ht="115.2" x14ac:dyDescent="0.3">
      <c r="A143" s="3" t="s">
        <v>97</v>
      </c>
      <c r="B143" s="3" t="s">
        <v>163</v>
      </c>
      <c r="C143" s="2" t="s">
        <v>238</v>
      </c>
      <c r="D143" s="2" t="s">
        <v>314</v>
      </c>
      <c r="E143" s="2" t="s">
        <v>224</v>
      </c>
      <c r="F143" s="3" t="s">
        <v>378</v>
      </c>
      <c r="G143" s="2" t="s">
        <v>421</v>
      </c>
      <c r="H143" s="3" t="s">
        <v>567</v>
      </c>
      <c r="I143" s="4">
        <v>450000000</v>
      </c>
      <c r="J143" s="4">
        <v>0</v>
      </c>
      <c r="K143" s="4">
        <v>0</v>
      </c>
      <c r="L143" s="4">
        <v>0</v>
      </c>
      <c r="M143" s="4">
        <v>0</v>
      </c>
      <c r="N143" s="4">
        <v>450000000</v>
      </c>
      <c r="O143" s="4">
        <v>450000000</v>
      </c>
      <c r="P143" s="4">
        <v>450000000</v>
      </c>
      <c r="Q143" s="4">
        <v>449999999.5</v>
      </c>
      <c r="R143" s="4">
        <v>348855539</v>
      </c>
      <c r="S143" s="4">
        <v>346555539</v>
      </c>
      <c r="T143" s="4">
        <v>0</v>
      </c>
      <c r="U143" s="23" t="s">
        <v>568</v>
      </c>
      <c r="V143" s="31">
        <v>190303500</v>
      </c>
      <c r="W143" s="17" t="s">
        <v>789</v>
      </c>
      <c r="X143" s="17" t="s">
        <v>750</v>
      </c>
      <c r="Y143" s="15" t="s">
        <v>779</v>
      </c>
      <c r="Z143" s="17">
        <v>2024</v>
      </c>
      <c r="AA143" s="17" t="s">
        <v>716</v>
      </c>
      <c r="AB143" s="81">
        <v>2024</v>
      </c>
      <c r="AC143" s="16" t="s">
        <v>716</v>
      </c>
      <c r="AD143" s="16" t="s">
        <v>850</v>
      </c>
      <c r="AE143" s="16" t="s">
        <v>865</v>
      </c>
      <c r="AF143" s="16" t="str">
        <f>_xlfn.CONCAT(EjecucionHaciendaDiciembre[[#This Row],[NOMBRE_RUBRO]]," - ",EjecucionHaciendaDiciembre[[#This Row],[NOMBRE_RECURSO]])</f>
        <v>Servicios de alojamiento; servicios de suministro de comidas y bebidas; servicios de transporte; y servicios de distribución de electricidad, gas y agua - 1.2.4.2.02 - SGP-SALUD-SALUD PUBLICA</v>
      </c>
      <c r="AH143" s="1"/>
      <c r="AI143" s="1"/>
      <c r="AJ143" s="1"/>
      <c r="AK143" s="1"/>
      <c r="AL143" s="1"/>
      <c r="AM143" s="1"/>
    </row>
    <row r="144" spans="1:39" ht="57.6" x14ac:dyDescent="0.3">
      <c r="A144" s="3" t="s">
        <v>97</v>
      </c>
      <c r="B144" s="3" t="s">
        <v>163</v>
      </c>
      <c r="C144" s="2" t="s">
        <v>233</v>
      </c>
      <c r="D144" s="2" t="s">
        <v>309</v>
      </c>
      <c r="E144" s="2" t="s">
        <v>19</v>
      </c>
      <c r="F144" s="3" t="s">
        <v>381</v>
      </c>
      <c r="G144" s="2" t="s">
        <v>437</v>
      </c>
      <c r="H144" s="3" t="s">
        <v>552</v>
      </c>
      <c r="I144" s="4">
        <v>4037471458.29</v>
      </c>
      <c r="J144" s="4">
        <v>0</v>
      </c>
      <c r="K144" s="4">
        <v>0</v>
      </c>
      <c r="L144" s="4">
        <v>81143237.349999994</v>
      </c>
      <c r="M144" s="4">
        <v>0</v>
      </c>
      <c r="N144" s="4">
        <v>4118614695.6399999</v>
      </c>
      <c r="O144" s="4">
        <v>4060673538.1100001</v>
      </c>
      <c r="P144" s="4">
        <v>4060673538.1100001</v>
      </c>
      <c r="Q144" s="4">
        <v>4060673538.1100001</v>
      </c>
      <c r="R144" s="4">
        <v>4060673538.04</v>
      </c>
      <c r="S144" s="4">
        <v>4060673538.04</v>
      </c>
      <c r="T144" s="4">
        <v>57941157.530000001</v>
      </c>
      <c r="U144" s="23" t="s">
        <v>553</v>
      </c>
      <c r="V144" s="31">
        <v>220102800</v>
      </c>
      <c r="W144" s="17" t="s">
        <v>827</v>
      </c>
      <c r="X144" s="17" t="s">
        <v>748</v>
      </c>
      <c r="Y144" s="15" t="s">
        <v>779</v>
      </c>
      <c r="Z144" s="17">
        <v>2024</v>
      </c>
      <c r="AA144" s="17" t="s">
        <v>716</v>
      </c>
      <c r="AB144" s="81">
        <v>2024</v>
      </c>
      <c r="AC144" s="16" t="s">
        <v>716</v>
      </c>
      <c r="AD144" s="16" t="s">
        <v>848</v>
      </c>
      <c r="AE144" s="16" t="s">
        <v>855</v>
      </c>
      <c r="AF144" s="16" t="str">
        <f>_xlfn.CONCAT(EjecucionHaciendaDiciembre[[#This Row],[NOMBRE_RUBRO]]," - ",EjecucionHaciendaDiciembre[[#This Row],[NOMBRE_RECURSO]])</f>
        <v>Servicios de alojamiento; servicios de suministro de comidas y bebidas; servicios de transporte; y servicios de distribución de electricidad, gas y agua - 1.2.3.3.03 - APORTES NACION</v>
      </c>
      <c r="AH144" s="1"/>
      <c r="AI144" s="1"/>
      <c r="AJ144" s="1"/>
      <c r="AK144" s="1"/>
      <c r="AL144" s="1"/>
      <c r="AM144" s="1"/>
    </row>
    <row r="145" spans="1:39" ht="57.6" x14ac:dyDescent="0.3">
      <c r="A145" s="3" t="s">
        <v>97</v>
      </c>
      <c r="B145" s="3" t="s">
        <v>163</v>
      </c>
      <c r="C145" s="2" t="s">
        <v>233</v>
      </c>
      <c r="D145" s="2" t="s">
        <v>309</v>
      </c>
      <c r="E145" s="2" t="s">
        <v>19</v>
      </c>
      <c r="F145" s="3" t="s">
        <v>381</v>
      </c>
      <c r="G145" s="2" t="s">
        <v>439</v>
      </c>
      <c r="H145" s="3" t="s">
        <v>554</v>
      </c>
      <c r="I145" s="4">
        <v>10306812070</v>
      </c>
      <c r="J145" s="4">
        <v>0</v>
      </c>
      <c r="K145" s="4">
        <v>0</v>
      </c>
      <c r="L145" s="4">
        <v>0</v>
      </c>
      <c r="M145" s="4">
        <v>81143237.349999994</v>
      </c>
      <c r="N145" s="4">
        <v>10225668832.65</v>
      </c>
      <c r="O145" s="4">
        <v>10225668832.65</v>
      </c>
      <c r="P145" s="4">
        <v>10225668832.65</v>
      </c>
      <c r="Q145" s="4">
        <v>10225668832.65</v>
      </c>
      <c r="R145" s="4">
        <v>9945923664.2099991</v>
      </c>
      <c r="S145" s="4">
        <v>9945923664.2099991</v>
      </c>
      <c r="T145" s="4">
        <v>0</v>
      </c>
      <c r="U145" s="23" t="s">
        <v>553</v>
      </c>
      <c r="V145" s="31">
        <v>220102800</v>
      </c>
      <c r="W145" s="17" t="s">
        <v>789</v>
      </c>
      <c r="X145" s="17" t="s">
        <v>748</v>
      </c>
      <c r="Y145" s="15" t="s">
        <v>779</v>
      </c>
      <c r="Z145" s="17">
        <v>2024</v>
      </c>
      <c r="AA145" s="17" t="s">
        <v>716</v>
      </c>
      <c r="AB145" s="81">
        <v>2024</v>
      </c>
      <c r="AC145" s="16" t="s">
        <v>716</v>
      </c>
      <c r="AD145" s="16" t="s">
        <v>848</v>
      </c>
      <c r="AE145" s="16" t="s">
        <v>869</v>
      </c>
      <c r="AF145" s="16" t="str">
        <f>_xlfn.CONCAT(EjecucionHaciendaDiciembre[[#This Row],[NOMBRE_RUBRO]]," - ",EjecucionHaciendaDiciembre[[#This Row],[NOMBRE_RECURSO]])</f>
        <v>Servicios de alojamiento; servicios de suministro de comidas y bebidas; servicios de transporte; y servicios de distribución de electricidad, gas y agua - 1.2.3.3.03 - APORTES NACION</v>
      </c>
      <c r="AH145" s="1"/>
      <c r="AI145" s="1"/>
      <c r="AJ145" s="1"/>
      <c r="AK145" s="1"/>
      <c r="AL145" s="1"/>
      <c r="AM145" s="1"/>
    </row>
    <row r="146" spans="1:39" ht="57.6" x14ac:dyDescent="0.3">
      <c r="A146" s="3" t="s">
        <v>97</v>
      </c>
      <c r="B146" s="3" t="s">
        <v>163</v>
      </c>
      <c r="C146" s="2" t="s">
        <v>233</v>
      </c>
      <c r="D146" s="2" t="s">
        <v>309</v>
      </c>
      <c r="E146" s="2" t="s">
        <v>224</v>
      </c>
      <c r="F146" s="3" t="s">
        <v>378</v>
      </c>
      <c r="G146" s="2" t="s">
        <v>435</v>
      </c>
      <c r="H146" s="3" t="s">
        <v>572</v>
      </c>
      <c r="I146" s="4">
        <v>0</v>
      </c>
      <c r="J146" s="4">
        <v>66666666.68</v>
      </c>
      <c r="K146" s="4">
        <v>0</v>
      </c>
      <c r="L146" s="4">
        <v>62222222</v>
      </c>
      <c r="M146" s="4">
        <v>66666666.68</v>
      </c>
      <c r="N146" s="4">
        <v>62222222</v>
      </c>
      <c r="O146" s="4">
        <v>62222222</v>
      </c>
      <c r="P146" s="4">
        <v>62222222</v>
      </c>
      <c r="Q146" s="4">
        <v>31111108</v>
      </c>
      <c r="R146" s="4">
        <v>0</v>
      </c>
      <c r="S146" s="4">
        <v>0</v>
      </c>
      <c r="T146" s="4">
        <v>0</v>
      </c>
      <c r="U146" s="23" t="s">
        <v>573</v>
      </c>
      <c r="V146" s="31">
        <v>190502600</v>
      </c>
      <c r="W146" s="17" t="s">
        <v>722</v>
      </c>
      <c r="X146" s="17" t="s">
        <v>750</v>
      </c>
      <c r="Y146" s="15" t="s">
        <v>779</v>
      </c>
      <c r="Z146" s="17">
        <v>2024</v>
      </c>
      <c r="AA146" s="17" t="s">
        <v>716</v>
      </c>
      <c r="AB146" s="81">
        <v>2024</v>
      </c>
      <c r="AC146" s="16" t="s">
        <v>716</v>
      </c>
      <c r="AD146" s="16" t="s">
        <v>848</v>
      </c>
      <c r="AE146" s="16" t="s">
        <v>855</v>
      </c>
      <c r="AF146" s="16" t="str">
        <f>_xlfn.CONCAT(EjecucionHaciendaDiciembre[[#This Row],[NOMBRE_RUBRO]]," - ",EjecucionHaciendaDiciembre[[#This Row],[NOMBRE_RECURSO]])</f>
        <v>Servicios de alojamiento; servicios de suministro de comidas y bebidas; servicios de transporte; y servicios de distribución de electricidad, gas y agua - 1.2.3.3.03 - APORTES NACION</v>
      </c>
      <c r="AH146" s="1"/>
      <c r="AI146" s="1"/>
      <c r="AJ146" s="1"/>
      <c r="AK146" s="1"/>
      <c r="AL146" s="1"/>
      <c r="AM146" s="1"/>
    </row>
    <row r="147" spans="1:39" ht="55.95" customHeight="1" x14ac:dyDescent="0.3">
      <c r="A147" s="3" t="s">
        <v>97</v>
      </c>
      <c r="B147" s="3" t="s">
        <v>163</v>
      </c>
      <c r="C147" s="2" t="s">
        <v>244</v>
      </c>
      <c r="D147" s="2" t="s">
        <v>320</v>
      </c>
      <c r="E147" s="2" t="s">
        <v>224</v>
      </c>
      <c r="F147" s="3" t="s">
        <v>378</v>
      </c>
      <c r="G147" s="2" t="s">
        <v>436</v>
      </c>
      <c r="H147" s="3" t="s">
        <v>574</v>
      </c>
      <c r="I147" s="4">
        <v>0</v>
      </c>
      <c r="J147" s="4">
        <v>183524157.30000001</v>
      </c>
      <c r="K147" s="4">
        <v>0</v>
      </c>
      <c r="L147" s="4">
        <v>0</v>
      </c>
      <c r="M147" s="4">
        <v>0</v>
      </c>
      <c r="N147" s="4">
        <v>183524157.30000001</v>
      </c>
      <c r="O147" s="4">
        <v>183524157.30000001</v>
      </c>
      <c r="P147" s="4">
        <v>183524157.30000001</v>
      </c>
      <c r="Q147" s="4">
        <v>183524157.30000001</v>
      </c>
      <c r="R147" s="4">
        <v>60634843.390000001</v>
      </c>
      <c r="S147" s="4">
        <v>60634843.390000001</v>
      </c>
      <c r="T147" s="4">
        <v>0</v>
      </c>
      <c r="U147" s="23" t="s">
        <v>575</v>
      </c>
      <c r="V147" s="31">
        <v>190504300</v>
      </c>
      <c r="W147" s="17"/>
      <c r="X147" s="17" t="s">
        <v>750</v>
      </c>
      <c r="Y147" s="15" t="s">
        <v>779</v>
      </c>
      <c r="Z147" s="17">
        <v>2024</v>
      </c>
      <c r="AA147" s="17" t="s">
        <v>716</v>
      </c>
      <c r="AB147" s="81">
        <v>2024</v>
      </c>
      <c r="AC147" s="16" t="s">
        <v>716</v>
      </c>
      <c r="AD147" s="16" t="s">
        <v>850</v>
      </c>
      <c r="AE147" s="16" t="s">
        <v>855</v>
      </c>
      <c r="AF147" s="16" t="str">
        <f>_xlfn.CONCAT(EjecucionHaciendaDiciembre[[#This Row],[NOMBRE_RUBRO]]," - ",EjecucionHaciendaDiciembre[[#This Row],[NOMBRE_RECURSO]])</f>
        <v>Servicios de alojamiento; servicios de suministro de comidas y bebidas; servicios de transporte; y servicios de distribución de electricidad, gas y agua - 1.3.3.7.02-R.B. SGP-SALUD-SALUD PUBLICA</v>
      </c>
      <c r="AH147" s="1"/>
      <c r="AI147" s="1"/>
      <c r="AJ147" s="1"/>
      <c r="AK147" s="1"/>
      <c r="AL147" s="1"/>
      <c r="AM147" s="1"/>
    </row>
    <row r="148" spans="1:39" ht="57.6" x14ac:dyDescent="0.3">
      <c r="A148" s="3" t="s">
        <v>97</v>
      </c>
      <c r="B148" s="3" t="s">
        <v>163</v>
      </c>
      <c r="C148" s="2" t="s">
        <v>244</v>
      </c>
      <c r="D148" s="2" t="s">
        <v>320</v>
      </c>
      <c r="E148" s="2" t="s">
        <v>224</v>
      </c>
      <c r="F148" s="3" t="s">
        <v>378</v>
      </c>
      <c r="G148" s="2" t="s">
        <v>810</v>
      </c>
      <c r="H148" s="3" t="s">
        <v>809</v>
      </c>
      <c r="I148" s="4">
        <v>0</v>
      </c>
      <c r="J148" s="4">
        <v>62222223</v>
      </c>
      <c r="K148" s="4">
        <v>0</v>
      </c>
      <c r="L148" s="4">
        <v>0</v>
      </c>
      <c r="M148" s="4">
        <v>0</v>
      </c>
      <c r="N148" s="4">
        <v>62222223</v>
      </c>
      <c r="O148" s="4">
        <v>62222223</v>
      </c>
      <c r="P148" s="4">
        <v>62222223</v>
      </c>
      <c r="Q148" s="4">
        <v>62222223</v>
      </c>
      <c r="R148" s="4">
        <v>0</v>
      </c>
      <c r="S148" s="4">
        <v>0</v>
      </c>
      <c r="T148" s="4">
        <v>0</v>
      </c>
      <c r="U148" s="23"/>
      <c r="V148" s="24"/>
      <c r="W148" s="17"/>
      <c r="X148" s="17" t="s">
        <v>716</v>
      </c>
      <c r="Y148" s="15"/>
      <c r="Z148" s="17">
        <v>2024</v>
      </c>
      <c r="AA148" s="17" t="s">
        <v>833</v>
      </c>
      <c r="AB148" s="81">
        <v>2024</v>
      </c>
      <c r="AC148" s="16" t="s">
        <v>716</v>
      </c>
      <c r="AD148" s="16" t="s">
        <v>850</v>
      </c>
      <c r="AE148" s="16" t="s">
        <v>716</v>
      </c>
      <c r="AF148" s="16" t="str">
        <f>_xlfn.CONCAT(EjecucionHaciendaDiciembre[[#This Row],[NOMBRE_RUBRO]]," - ",EjecucionHaciendaDiciembre[[#This Row],[NOMBRE_RECURSO]])</f>
        <v>Servicios de alojamiento; servicios de suministro de comidas y bebidas; servicios de transporte; y servicios de distribución de electricidad, gas y agua - 1.3.3.7.02-R.B. SGP-SALUD-SALUD PUBLICA</v>
      </c>
      <c r="AH148" s="1"/>
      <c r="AI148" s="1"/>
      <c r="AJ148" s="1"/>
      <c r="AK148" s="1"/>
      <c r="AL148" s="1"/>
      <c r="AM148" s="1"/>
    </row>
    <row r="149" spans="1:39" ht="72" x14ac:dyDescent="0.3">
      <c r="A149" s="32" t="s">
        <v>97</v>
      </c>
      <c r="B149" s="32" t="s">
        <v>163</v>
      </c>
      <c r="C149" s="33" t="s">
        <v>248</v>
      </c>
      <c r="D149" s="33" t="s">
        <v>324</v>
      </c>
      <c r="E149" s="33" t="s">
        <v>19</v>
      </c>
      <c r="F149" s="32" t="s">
        <v>381</v>
      </c>
      <c r="G149" s="33" t="s">
        <v>399</v>
      </c>
      <c r="H149" s="32"/>
      <c r="I149" s="34">
        <v>0</v>
      </c>
      <c r="J149" s="34">
        <v>4628558361.5299997</v>
      </c>
      <c r="K149" s="34">
        <v>0</v>
      </c>
      <c r="L149" s="34">
        <v>0</v>
      </c>
      <c r="M149" s="34">
        <v>0</v>
      </c>
      <c r="N149" s="34">
        <v>4628558361.5299997</v>
      </c>
      <c r="O149" s="34">
        <v>0</v>
      </c>
      <c r="P149" s="34">
        <v>0</v>
      </c>
      <c r="Q149" s="34">
        <v>0</v>
      </c>
      <c r="R149" s="34">
        <v>0</v>
      </c>
      <c r="S149" s="34">
        <v>0</v>
      </c>
      <c r="T149" s="34">
        <v>4628558361.5299997</v>
      </c>
      <c r="U149" s="35"/>
      <c r="V149" s="85"/>
      <c r="W149" s="17"/>
      <c r="X149" s="17" t="s">
        <v>716</v>
      </c>
      <c r="Y149" s="15"/>
      <c r="Z149" s="17"/>
      <c r="AA149" s="17" t="s">
        <v>716</v>
      </c>
      <c r="AB149" s="81"/>
      <c r="AC149" s="16" t="s">
        <v>716</v>
      </c>
      <c r="AD149" s="16" t="s">
        <v>848</v>
      </c>
      <c r="AE149" s="16" t="s">
        <v>855</v>
      </c>
      <c r="AF149" s="16" t="str">
        <f>_xlfn.CONCAT(EjecucionHaciendaDiciembre[[#This Row],[NOMBRE_RUBRO]]," - ",EjecucionHaciendaDiciembre[[#This Row],[NOMBRE_RECURSO]])</f>
        <v>Servicios de alojamiento; servicios de suministro de comidas y bebidas; servicios de transporte; y servicios de distribución de electricidad, gas y agua - 1.3.3.5.03-R.B. APORTES NACION - ALIMENTACION ESCOLAR</v>
      </c>
      <c r="AH149" s="1"/>
      <c r="AI149" s="1"/>
      <c r="AJ149" s="1"/>
      <c r="AK149" s="1"/>
      <c r="AL149" s="1"/>
      <c r="AM149" s="1"/>
    </row>
    <row r="150" spans="1:39" ht="72" x14ac:dyDescent="0.3">
      <c r="A150" s="3" t="s">
        <v>97</v>
      </c>
      <c r="B150" s="3" t="s">
        <v>163</v>
      </c>
      <c r="C150" s="2" t="s">
        <v>248</v>
      </c>
      <c r="D150" s="2" t="s">
        <v>324</v>
      </c>
      <c r="E150" s="2" t="s">
        <v>19</v>
      </c>
      <c r="F150" s="3" t="s">
        <v>381</v>
      </c>
      <c r="G150" s="2" t="s">
        <v>437</v>
      </c>
      <c r="H150" s="3" t="s">
        <v>552</v>
      </c>
      <c r="I150" s="4">
        <v>0</v>
      </c>
      <c r="J150" s="4">
        <v>1331928284.1600001</v>
      </c>
      <c r="K150" s="4">
        <v>0</v>
      </c>
      <c r="L150" s="4">
        <v>0</v>
      </c>
      <c r="M150" s="4">
        <v>0</v>
      </c>
      <c r="N150" s="4">
        <v>1331928284.1600001</v>
      </c>
      <c r="O150" s="4">
        <v>635015357</v>
      </c>
      <c r="P150" s="4">
        <v>635015357</v>
      </c>
      <c r="Q150" s="4">
        <v>635015357</v>
      </c>
      <c r="R150" s="4">
        <v>572321871.33000004</v>
      </c>
      <c r="S150" s="4">
        <v>572321871.33000004</v>
      </c>
      <c r="T150" s="4">
        <v>696912927.15999997</v>
      </c>
      <c r="U150" s="23" t="s">
        <v>553</v>
      </c>
      <c r="V150" s="31">
        <v>220102800</v>
      </c>
      <c r="W150" s="17" t="s">
        <v>789</v>
      </c>
      <c r="X150" s="17" t="s">
        <v>748</v>
      </c>
      <c r="Y150" s="15" t="s">
        <v>779</v>
      </c>
      <c r="Z150" s="17">
        <v>2024</v>
      </c>
      <c r="AA150" s="17" t="s">
        <v>716</v>
      </c>
      <c r="AB150" s="81">
        <v>2024</v>
      </c>
      <c r="AC150" s="16" t="s">
        <v>716</v>
      </c>
      <c r="AD150" s="16" t="s">
        <v>848</v>
      </c>
      <c r="AE150" s="16" t="s">
        <v>855</v>
      </c>
      <c r="AF150" s="16" t="str">
        <f>_xlfn.CONCAT(EjecucionHaciendaDiciembre[[#This Row],[NOMBRE_RUBRO]]," - ",EjecucionHaciendaDiciembre[[#This Row],[NOMBRE_RECURSO]])</f>
        <v>Servicios de alojamiento; servicios de suministro de comidas y bebidas; servicios de transporte; y servicios de distribución de electricidad, gas y agua - 1.3.3.5.03-R.B. APORTES NACION - ALIMENTACION ESCOLAR</v>
      </c>
      <c r="AH150" s="1"/>
      <c r="AI150" s="1"/>
      <c r="AJ150" s="1"/>
      <c r="AK150" s="1"/>
      <c r="AL150" s="1"/>
      <c r="AM150" s="1"/>
    </row>
    <row r="151" spans="1:39" ht="99.75" customHeight="1" x14ac:dyDescent="0.3">
      <c r="A151" s="3" t="s">
        <v>98</v>
      </c>
      <c r="B151" s="3" t="s">
        <v>164</v>
      </c>
      <c r="C151" s="2" t="s">
        <v>215</v>
      </c>
      <c r="D151" s="2" t="s">
        <v>291</v>
      </c>
      <c r="E151" s="2" t="s">
        <v>372</v>
      </c>
      <c r="F151" s="3" t="s">
        <v>387</v>
      </c>
      <c r="G151" s="2" t="s">
        <v>440</v>
      </c>
      <c r="H151" s="3" t="s">
        <v>604</v>
      </c>
      <c r="I151" s="4">
        <v>278396740.62</v>
      </c>
      <c r="J151" s="4">
        <v>0</v>
      </c>
      <c r="K151" s="4">
        <v>0</v>
      </c>
      <c r="L151" s="4">
        <v>0</v>
      </c>
      <c r="M151" s="4">
        <v>0</v>
      </c>
      <c r="N151" s="4">
        <v>278396740.62</v>
      </c>
      <c r="O151" s="4">
        <v>278396740.62</v>
      </c>
      <c r="P151" s="4">
        <v>278396740.62</v>
      </c>
      <c r="Q151" s="4">
        <v>278396740.62</v>
      </c>
      <c r="R151" s="4">
        <v>278396740.62</v>
      </c>
      <c r="S151" s="4">
        <v>278396740.62</v>
      </c>
      <c r="T151" s="4">
        <v>0</v>
      </c>
      <c r="U151" s="23" t="s">
        <v>605</v>
      </c>
      <c r="V151" s="31">
        <v>350204600</v>
      </c>
      <c r="W151" s="17" t="s">
        <v>789</v>
      </c>
      <c r="X151" s="17" t="s">
        <v>748</v>
      </c>
      <c r="Y151" s="15" t="s">
        <v>779</v>
      </c>
      <c r="Z151" s="17">
        <v>2024</v>
      </c>
      <c r="AA151" s="17" t="s">
        <v>716</v>
      </c>
      <c r="AB151" s="81">
        <v>2024</v>
      </c>
      <c r="AC151" s="16" t="s">
        <v>716</v>
      </c>
      <c r="AD151" s="16" t="s">
        <v>849</v>
      </c>
      <c r="AE151" s="16" t="s">
        <v>870</v>
      </c>
      <c r="AF151" s="16" t="str">
        <f>_xlfn.CONCAT(EjecucionHaciendaDiciembre[[#This Row],[NOMBRE_RUBRO]]," - ",EjecucionHaciendaDiciembre[[#This Row],[NOMBRE_RECURSO]])</f>
        <v>Servicios prestados a las empresas y servicios de producción - 1.2.1.0.00 - INGRESOS CORRIENTES DE LIBRE DESTINACION</v>
      </c>
      <c r="AH151" s="1"/>
      <c r="AI151" s="1"/>
      <c r="AJ151" s="1"/>
      <c r="AK151" s="1"/>
      <c r="AL151" s="1"/>
      <c r="AM151" s="1"/>
    </row>
    <row r="152" spans="1:39" ht="99.75" customHeight="1" x14ac:dyDescent="0.3">
      <c r="A152" s="3" t="s">
        <v>98</v>
      </c>
      <c r="B152" s="3" t="s">
        <v>164</v>
      </c>
      <c r="C152" s="2" t="s">
        <v>215</v>
      </c>
      <c r="D152" s="2" t="s">
        <v>291</v>
      </c>
      <c r="E152" s="2" t="s">
        <v>372</v>
      </c>
      <c r="F152" s="3" t="s">
        <v>387</v>
      </c>
      <c r="G152" s="2" t="s">
        <v>441</v>
      </c>
      <c r="H152" s="3" t="s">
        <v>606</v>
      </c>
      <c r="I152" s="4">
        <v>118863150</v>
      </c>
      <c r="J152" s="4">
        <v>0</v>
      </c>
      <c r="K152" s="4">
        <v>0</v>
      </c>
      <c r="L152" s="4">
        <v>0</v>
      </c>
      <c r="M152" s="4">
        <v>0</v>
      </c>
      <c r="N152" s="4">
        <v>118863150</v>
      </c>
      <c r="O152" s="4">
        <v>118863150</v>
      </c>
      <c r="P152" s="4">
        <v>118863150</v>
      </c>
      <c r="Q152" s="4">
        <v>118863150</v>
      </c>
      <c r="R152" s="4">
        <v>118863150</v>
      </c>
      <c r="S152" s="4">
        <v>59431575</v>
      </c>
      <c r="T152" s="4">
        <v>0</v>
      </c>
      <c r="U152" s="23" t="s">
        <v>607</v>
      </c>
      <c r="V152" s="31">
        <v>350203600</v>
      </c>
      <c r="W152" s="17" t="s">
        <v>789</v>
      </c>
      <c r="X152" s="17" t="s">
        <v>748</v>
      </c>
      <c r="Y152" s="15" t="s">
        <v>779</v>
      </c>
      <c r="Z152" s="17">
        <v>2024</v>
      </c>
      <c r="AA152" s="17" t="s">
        <v>716</v>
      </c>
      <c r="AB152" s="81">
        <v>2024</v>
      </c>
      <c r="AC152" s="16" t="s">
        <v>716</v>
      </c>
      <c r="AD152" s="16" t="s">
        <v>849</v>
      </c>
      <c r="AE152" s="16" t="s">
        <v>871</v>
      </c>
      <c r="AF152" s="16" t="str">
        <f>_xlfn.CONCAT(EjecucionHaciendaDiciembre[[#This Row],[NOMBRE_RUBRO]]," - ",EjecucionHaciendaDiciembre[[#This Row],[NOMBRE_RECURSO]])</f>
        <v>Servicios prestados a las empresas y servicios de producción - 1.2.1.0.00 - INGRESOS CORRIENTES DE LIBRE DESTINACION</v>
      </c>
      <c r="AH152" s="1"/>
      <c r="AI152" s="1"/>
      <c r="AJ152" s="1"/>
      <c r="AK152" s="1"/>
      <c r="AL152" s="1"/>
      <c r="AM152" s="1"/>
    </row>
    <row r="153" spans="1:39" ht="115.2" x14ac:dyDescent="0.3">
      <c r="A153" s="3" t="s">
        <v>98</v>
      </c>
      <c r="B153" s="3" t="s">
        <v>164</v>
      </c>
      <c r="C153" s="2" t="s">
        <v>215</v>
      </c>
      <c r="D153" s="2" t="s">
        <v>291</v>
      </c>
      <c r="E153" s="2" t="s">
        <v>371</v>
      </c>
      <c r="F153" s="3" t="s">
        <v>385</v>
      </c>
      <c r="G153" s="2" t="s">
        <v>442</v>
      </c>
      <c r="H153" s="3" t="s">
        <v>629</v>
      </c>
      <c r="I153" s="4">
        <v>0</v>
      </c>
      <c r="J153" s="4">
        <v>0</v>
      </c>
      <c r="K153" s="4">
        <v>0</v>
      </c>
      <c r="L153" s="4">
        <v>287979980</v>
      </c>
      <c r="M153" s="4">
        <v>0</v>
      </c>
      <c r="N153" s="4">
        <v>287979980</v>
      </c>
      <c r="O153" s="4">
        <v>287979980</v>
      </c>
      <c r="P153" s="4">
        <v>287979980</v>
      </c>
      <c r="Q153" s="4">
        <v>266537293</v>
      </c>
      <c r="R153" s="4">
        <v>266537293</v>
      </c>
      <c r="S153" s="4">
        <v>266537293</v>
      </c>
      <c r="T153" s="4">
        <v>0</v>
      </c>
      <c r="U153" s="23" t="s">
        <v>630</v>
      </c>
      <c r="V153" s="31">
        <v>459900300</v>
      </c>
      <c r="W153" s="17" t="s">
        <v>789</v>
      </c>
      <c r="X153" s="17" t="s">
        <v>748</v>
      </c>
      <c r="Y153" s="15" t="s">
        <v>779</v>
      </c>
      <c r="Z153" s="17">
        <v>2024</v>
      </c>
      <c r="AA153" s="17" t="s">
        <v>716</v>
      </c>
      <c r="AB153" s="81">
        <v>2024</v>
      </c>
      <c r="AC153" s="16" t="s">
        <v>716</v>
      </c>
      <c r="AD153" s="16" t="s">
        <v>849</v>
      </c>
      <c r="AE153" s="16" t="s">
        <v>868</v>
      </c>
      <c r="AF153" s="16" t="str">
        <f>_xlfn.CONCAT(EjecucionHaciendaDiciembre[[#This Row],[NOMBRE_RUBRO]]," - ",EjecucionHaciendaDiciembre[[#This Row],[NOMBRE_RECURSO]])</f>
        <v>Servicios prestados a las empresas y servicios de producción - 1.2.1.0.00 - INGRESOS CORRIENTES DE LIBRE DESTINACION</v>
      </c>
      <c r="AH153" s="1"/>
      <c r="AI153" s="1"/>
      <c r="AJ153" s="1"/>
      <c r="AK153" s="1"/>
      <c r="AL153" s="1"/>
      <c r="AM153" s="1"/>
    </row>
    <row r="154" spans="1:39" ht="57.6" x14ac:dyDescent="0.3">
      <c r="A154" s="3" t="s">
        <v>98</v>
      </c>
      <c r="B154" s="3" t="s">
        <v>164</v>
      </c>
      <c r="C154" s="2" t="s">
        <v>215</v>
      </c>
      <c r="D154" s="2" t="s">
        <v>291</v>
      </c>
      <c r="E154" s="2" t="s">
        <v>218</v>
      </c>
      <c r="F154" s="3" t="s">
        <v>386</v>
      </c>
      <c r="G154" s="2" t="s">
        <v>443</v>
      </c>
      <c r="H154" s="3" t="s">
        <v>664</v>
      </c>
      <c r="I154" s="4">
        <v>898944843.50999999</v>
      </c>
      <c r="J154" s="4">
        <v>0</v>
      </c>
      <c r="K154" s="4">
        <v>0</v>
      </c>
      <c r="L154" s="4">
        <v>0</v>
      </c>
      <c r="M154" s="4">
        <v>0</v>
      </c>
      <c r="N154" s="4">
        <v>898944843.50999999</v>
      </c>
      <c r="O154" s="4">
        <v>898944843.50999999</v>
      </c>
      <c r="P154" s="4">
        <v>898944843.50999999</v>
      </c>
      <c r="Q154" s="4">
        <v>868321412</v>
      </c>
      <c r="R154" s="4">
        <v>740249226</v>
      </c>
      <c r="S154" s="4">
        <v>740249226</v>
      </c>
      <c r="T154" s="4">
        <v>0</v>
      </c>
      <c r="U154" s="23" t="s">
        <v>665</v>
      </c>
      <c r="V154" s="31">
        <v>400201600</v>
      </c>
      <c r="W154" s="17" t="s">
        <v>830</v>
      </c>
      <c r="X154" s="17" t="s">
        <v>754</v>
      </c>
      <c r="Y154" s="15" t="s">
        <v>779</v>
      </c>
      <c r="Z154" s="17">
        <v>2024</v>
      </c>
      <c r="AA154" s="17" t="s">
        <v>716</v>
      </c>
      <c r="AB154" s="81">
        <v>2024</v>
      </c>
      <c r="AC154" s="16" t="s">
        <v>716</v>
      </c>
      <c r="AD154" s="16" t="s">
        <v>849</v>
      </c>
      <c r="AE154" s="16" t="s">
        <v>855</v>
      </c>
      <c r="AF154" s="16" t="str">
        <f>_xlfn.CONCAT(EjecucionHaciendaDiciembre[[#This Row],[NOMBRE_RUBRO]]," - ",EjecucionHaciendaDiciembre[[#This Row],[NOMBRE_RECURSO]])</f>
        <v>Servicios prestados a las empresas y servicios de producción - 1.2.1.0.00 - INGRESOS CORRIENTES DE LIBRE DESTINACION</v>
      </c>
      <c r="AH154" s="1"/>
      <c r="AI154" s="1"/>
      <c r="AJ154" s="1"/>
      <c r="AK154" s="1"/>
      <c r="AL154" s="1"/>
      <c r="AM154" s="1"/>
    </row>
    <row r="155" spans="1:39" ht="43.2" x14ac:dyDescent="0.3">
      <c r="A155" s="32" t="s">
        <v>98</v>
      </c>
      <c r="B155" s="32" t="s">
        <v>164</v>
      </c>
      <c r="C155" s="33" t="s">
        <v>215</v>
      </c>
      <c r="D155" s="33" t="s">
        <v>291</v>
      </c>
      <c r="E155" s="33" t="s">
        <v>373</v>
      </c>
      <c r="F155" s="32" t="s">
        <v>388</v>
      </c>
      <c r="G155" s="33" t="s">
        <v>399</v>
      </c>
      <c r="H155" s="32"/>
      <c r="I155" s="34">
        <v>400000000</v>
      </c>
      <c r="J155" s="34">
        <v>0</v>
      </c>
      <c r="K155" s="34">
        <v>0</v>
      </c>
      <c r="L155" s="34">
        <v>0</v>
      </c>
      <c r="M155" s="34">
        <v>0</v>
      </c>
      <c r="N155" s="34">
        <v>400000000</v>
      </c>
      <c r="O155" s="34">
        <v>0</v>
      </c>
      <c r="P155" s="34">
        <v>0</v>
      </c>
      <c r="Q155" s="34">
        <v>0</v>
      </c>
      <c r="R155" s="34">
        <v>0</v>
      </c>
      <c r="S155" s="34">
        <v>0</v>
      </c>
      <c r="T155" s="34">
        <v>400000000</v>
      </c>
      <c r="U155" s="35"/>
      <c r="V155" s="85"/>
      <c r="W155" s="17"/>
      <c r="X155" s="17" t="s">
        <v>716</v>
      </c>
      <c r="Y155" s="15"/>
      <c r="Z155" s="17"/>
      <c r="AA155" s="17" t="s">
        <v>716</v>
      </c>
      <c r="AB155" s="81"/>
      <c r="AC155" s="16" t="s">
        <v>716</v>
      </c>
      <c r="AD155" s="16" t="s">
        <v>849</v>
      </c>
      <c r="AE155" s="16" t="s">
        <v>855</v>
      </c>
      <c r="AF155" s="16" t="str">
        <f>_xlfn.CONCAT(EjecucionHaciendaDiciembre[[#This Row],[NOMBRE_RUBRO]]," - ",EjecucionHaciendaDiciembre[[#This Row],[NOMBRE_RECURSO]])</f>
        <v>Servicios prestados a las empresas y servicios de producción - 1.2.1.0.00 - INGRESOS CORRIENTES DE LIBRE DESTINACION</v>
      </c>
      <c r="AH155" s="1"/>
      <c r="AI155" s="1"/>
      <c r="AJ155" s="1"/>
      <c r="AK155" s="1"/>
      <c r="AL155" s="1"/>
      <c r="AM155" s="1"/>
    </row>
    <row r="156" spans="1:39" ht="43.2" x14ac:dyDescent="0.3">
      <c r="A156" s="36" t="s">
        <v>98</v>
      </c>
      <c r="B156" s="36" t="s">
        <v>164</v>
      </c>
      <c r="C156" s="37" t="s">
        <v>238</v>
      </c>
      <c r="D156" s="37" t="s">
        <v>314</v>
      </c>
      <c r="E156" s="37" t="s">
        <v>224</v>
      </c>
      <c r="F156" s="36" t="s">
        <v>378</v>
      </c>
      <c r="G156" s="37" t="s">
        <v>399</v>
      </c>
      <c r="H156" s="36"/>
      <c r="I156" s="38">
        <v>324000000</v>
      </c>
      <c r="J156" s="38">
        <v>0</v>
      </c>
      <c r="K156" s="38">
        <v>0</v>
      </c>
      <c r="L156" s="38">
        <v>0</v>
      </c>
      <c r="M156" s="38">
        <v>324000000</v>
      </c>
      <c r="N156" s="38">
        <v>0</v>
      </c>
      <c r="O156" s="38">
        <v>0</v>
      </c>
      <c r="P156" s="38">
        <v>0</v>
      </c>
      <c r="Q156" s="38">
        <v>0</v>
      </c>
      <c r="R156" s="38">
        <v>0</v>
      </c>
      <c r="S156" s="38">
        <v>0</v>
      </c>
      <c r="T156" s="38">
        <v>0</v>
      </c>
      <c r="U156" s="39"/>
      <c r="V156" s="84"/>
      <c r="W156" s="17"/>
      <c r="X156" s="17" t="s">
        <v>716</v>
      </c>
      <c r="Y156" s="15"/>
      <c r="Z156" s="17"/>
      <c r="AA156" s="17" t="s">
        <v>716</v>
      </c>
      <c r="AB156" s="81"/>
      <c r="AC156" s="16" t="s">
        <v>716</v>
      </c>
      <c r="AD156" s="16" t="s">
        <v>850</v>
      </c>
      <c r="AE156" s="16" t="s">
        <v>855</v>
      </c>
      <c r="AF156" s="16" t="str">
        <f>_xlfn.CONCAT(EjecucionHaciendaDiciembre[[#This Row],[NOMBRE_RUBRO]]," - ",EjecucionHaciendaDiciembre[[#This Row],[NOMBRE_RECURSO]])</f>
        <v>Servicios prestados a las empresas y servicios de producción - 1.2.4.2.02 - SGP-SALUD-SALUD PUBLICA</v>
      </c>
      <c r="AH156" s="1"/>
      <c r="AI156" s="1"/>
      <c r="AJ156" s="1"/>
      <c r="AK156" s="1"/>
      <c r="AL156" s="1"/>
      <c r="AM156" s="1"/>
    </row>
    <row r="157" spans="1:39" ht="43.2" x14ac:dyDescent="0.3">
      <c r="A157" s="3" t="s">
        <v>98</v>
      </c>
      <c r="B157" s="3" t="s">
        <v>164</v>
      </c>
      <c r="C157" s="2" t="s">
        <v>238</v>
      </c>
      <c r="D157" s="2" t="s">
        <v>314</v>
      </c>
      <c r="E157" s="2" t="s">
        <v>224</v>
      </c>
      <c r="F157" s="3" t="s">
        <v>378</v>
      </c>
      <c r="G157" s="2" t="s">
        <v>444</v>
      </c>
      <c r="H157" s="3" t="s">
        <v>578</v>
      </c>
      <c r="I157" s="4">
        <v>100000000</v>
      </c>
      <c r="J157" s="4">
        <v>0</v>
      </c>
      <c r="K157" s="4">
        <v>0</v>
      </c>
      <c r="L157" s="4">
        <v>0</v>
      </c>
      <c r="M157" s="4">
        <v>0</v>
      </c>
      <c r="N157" s="4">
        <v>100000000</v>
      </c>
      <c r="O157" s="4">
        <v>100000000</v>
      </c>
      <c r="P157" s="4">
        <v>100000000</v>
      </c>
      <c r="Q157" s="4">
        <v>93210000</v>
      </c>
      <c r="R157" s="4">
        <v>93210000</v>
      </c>
      <c r="S157" s="4">
        <v>93210000</v>
      </c>
      <c r="T157" s="4">
        <v>0</v>
      </c>
      <c r="U157" s="23" t="s">
        <v>579</v>
      </c>
      <c r="V157" s="31">
        <v>190502500</v>
      </c>
      <c r="W157" s="17"/>
      <c r="X157" s="17" t="s">
        <v>750</v>
      </c>
      <c r="Y157" s="15" t="s">
        <v>779</v>
      </c>
      <c r="Z157" s="17">
        <v>2024</v>
      </c>
      <c r="AA157" s="17" t="s">
        <v>716</v>
      </c>
      <c r="AB157" s="81">
        <v>2024</v>
      </c>
      <c r="AC157" s="16" t="s">
        <v>716</v>
      </c>
      <c r="AD157" s="16" t="s">
        <v>850</v>
      </c>
      <c r="AE157" s="16" t="s">
        <v>855</v>
      </c>
      <c r="AF157" s="16" t="str">
        <f>_xlfn.CONCAT(EjecucionHaciendaDiciembre[[#This Row],[NOMBRE_RUBRO]]," - ",EjecucionHaciendaDiciembre[[#This Row],[NOMBRE_RECURSO]])</f>
        <v>Servicios prestados a las empresas y servicios de producción - 1.2.4.2.02 - SGP-SALUD-SALUD PUBLICA</v>
      </c>
      <c r="AH157" s="1"/>
      <c r="AI157" s="1"/>
      <c r="AJ157" s="1"/>
      <c r="AK157" s="1"/>
      <c r="AL157" s="1"/>
      <c r="AM157" s="1"/>
    </row>
    <row r="158" spans="1:39" ht="115.2" x14ac:dyDescent="0.3">
      <c r="A158" s="3" t="s">
        <v>98</v>
      </c>
      <c r="B158" s="3" t="s">
        <v>164</v>
      </c>
      <c r="C158" s="2" t="s">
        <v>238</v>
      </c>
      <c r="D158" s="2" t="s">
        <v>314</v>
      </c>
      <c r="E158" s="2" t="s">
        <v>224</v>
      </c>
      <c r="F158" s="3" t="s">
        <v>378</v>
      </c>
      <c r="G158" s="2" t="s">
        <v>445</v>
      </c>
      <c r="H158" s="3" t="s">
        <v>580</v>
      </c>
      <c r="I158" s="4">
        <v>160000000</v>
      </c>
      <c r="J158" s="4">
        <v>0</v>
      </c>
      <c r="K158" s="4">
        <v>0</v>
      </c>
      <c r="L158" s="4">
        <v>0</v>
      </c>
      <c r="M158" s="4">
        <v>0</v>
      </c>
      <c r="N158" s="4">
        <v>160000000</v>
      </c>
      <c r="O158" s="4">
        <v>160000000</v>
      </c>
      <c r="P158" s="4">
        <v>160000000</v>
      </c>
      <c r="Q158" s="4">
        <v>153100000</v>
      </c>
      <c r="R158" s="4">
        <v>153100000</v>
      </c>
      <c r="S158" s="4">
        <v>153100000</v>
      </c>
      <c r="T158" s="4">
        <v>0</v>
      </c>
      <c r="U158" s="23" t="s">
        <v>581</v>
      </c>
      <c r="V158" s="31">
        <v>190502600</v>
      </c>
      <c r="W158" s="17"/>
      <c r="X158" s="17" t="s">
        <v>750</v>
      </c>
      <c r="Y158" s="15" t="s">
        <v>779</v>
      </c>
      <c r="Z158" s="17">
        <v>2024</v>
      </c>
      <c r="AA158" s="17" t="s">
        <v>716</v>
      </c>
      <c r="AB158" s="81">
        <v>2024</v>
      </c>
      <c r="AC158" s="16" t="s">
        <v>716</v>
      </c>
      <c r="AD158" s="16" t="s">
        <v>850</v>
      </c>
      <c r="AE158" s="16" t="s">
        <v>865</v>
      </c>
      <c r="AF158" s="16" t="str">
        <f>_xlfn.CONCAT(EjecucionHaciendaDiciembre[[#This Row],[NOMBRE_RUBRO]]," - ",EjecucionHaciendaDiciembre[[#This Row],[NOMBRE_RECURSO]])</f>
        <v>Servicios prestados a las empresas y servicios de producción - 1.2.4.2.02 - SGP-SALUD-SALUD PUBLICA</v>
      </c>
      <c r="AH158" s="1"/>
      <c r="AI158" s="1"/>
      <c r="AJ158" s="1"/>
      <c r="AK158" s="1"/>
      <c r="AL158" s="1"/>
      <c r="AM158" s="1"/>
    </row>
    <row r="159" spans="1:39" ht="115.2" x14ac:dyDescent="0.3">
      <c r="A159" s="3" t="s">
        <v>98</v>
      </c>
      <c r="B159" s="3" t="s">
        <v>164</v>
      </c>
      <c r="C159" s="2" t="s">
        <v>238</v>
      </c>
      <c r="D159" s="2" t="s">
        <v>314</v>
      </c>
      <c r="E159" s="2" t="s">
        <v>224</v>
      </c>
      <c r="F159" s="3" t="s">
        <v>378</v>
      </c>
      <c r="G159" s="2" t="s">
        <v>446</v>
      </c>
      <c r="H159" s="3" t="s">
        <v>582</v>
      </c>
      <c r="I159" s="4">
        <v>260000000</v>
      </c>
      <c r="J159" s="4">
        <v>0</v>
      </c>
      <c r="K159" s="4">
        <v>0</v>
      </c>
      <c r="L159" s="4">
        <v>0</v>
      </c>
      <c r="M159" s="4">
        <v>0</v>
      </c>
      <c r="N159" s="4">
        <v>260000000</v>
      </c>
      <c r="O159" s="4">
        <v>260000000</v>
      </c>
      <c r="P159" s="4">
        <v>260000000</v>
      </c>
      <c r="Q159" s="4">
        <v>256800000</v>
      </c>
      <c r="R159" s="4">
        <v>220000000</v>
      </c>
      <c r="S159" s="4">
        <v>220000000</v>
      </c>
      <c r="T159" s="4">
        <v>0</v>
      </c>
      <c r="U159" s="23" t="s">
        <v>583</v>
      </c>
      <c r="V159" s="31">
        <v>190502800</v>
      </c>
      <c r="W159" s="17"/>
      <c r="X159" s="17" t="s">
        <v>750</v>
      </c>
      <c r="Y159" s="15" t="s">
        <v>779</v>
      </c>
      <c r="Z159" s="17">
        <v>2024</v>
      </c>
      <c r="AA159" s="17" t="s">
        <v>716</v>
      </c>
      <c r="AB159" s="81">
        <v>2024</v>
      </c>
      <c r="AC159" s="16" t="s">
        <v>716</v>
      </c>
      <c r="AD159" s="16" t="s">
        <v>850</v>
      </c>
      <c r="AE159" s="16" t="s">
        <v>865</v>
      </c>
      <c r="AF159" s="16" t="str">
        <f>_xlfn.CONCAT(EjecucionHaciendaDiciembre[[#This Row],[NOMBRE_RUBRO]]," - ",EjecucionHaciendaDiciembre[[#This Row],[NOMBRE_RECURSO]])</f>
        <v>Servicios prestados a las empresas y servicios de producción - 1.2.4.2.02 - SGP-SALUD-SALUD PUBLICA</v>
      </c>
      <c r="AH159" s="1"/>
      <c r="AI159" s="1"/>
      <c r="AJ159" s="1"/>
      <c r="AK159" s="1"/>
      <c r="AL159" s="1"/>
      <c r="AM159" s="1"/>
    </row>
    <row r="160" spans="1:39" ht="60" customHeight="1" x14ac:dyDescent="0.3">
      <c r="A160" s="3" t="s">
        <v>98</v>
      </c>
      <c r="B160" s="3" t="s">
        <v>164</v>
      </c>
      <c r="C160" s="2" t="s">
        <v>238</v>
      </c>
      <c r="D160" s="2" t="s">
        <v>314</v>
      </c>
      <c r="E160" s="2" t="s">
        <v>224</v>
      </c>
      <c r="F160" s="3" t="s">
        <v>378</v>
      </c>
      <c r="G160" s="2" t="s">
        <v>447</v>
      </c>
      <c r="H160" s="3" t="s">
        <v>584</v>
      </c>
      <c r="I160" s="4">
        <v>308929713</v>
      </c>
      <c r="J160" s="4">
        <v>0</v>
      </c>
      <c r="K160" s="4">
        <v>0</v>
      </c>
      <c r="L160" s="4">
        <v>0</v>
      </c>
      <c r="M160" s="4">
        <v>0</v>
      </c>
      <c r="N160" s="4">
        <v>308929713</v>
      </c>
      <c r="O160" s="4">
        <v>308929713</v>
      </c>
      <c r="P160" s="4">
        <v>308929713</v>
      </c>
      <c r="Q160" s="4">
        <v>300749713</v>
      </c>
      <c r="R160" s="4">
        <v>286065413</v>
      </c>
      <c r="S160" s="4">
        <v>286065413</v>
      </c>
      <c r="T160" s="4">
        <v>0</v>
      </c>
      <c r="U160" s="23" t="s">
        <v>581</v>
      </c>
      <c r="V160" s="31">
        <v>190502600</v>
      </c>
      <c r="W160" s="17"/>
      <c r="X160" s="17" t="s">
        <v>750</v>
      </c>
      <c r="Y160" s="15" t="s">
        <v>779</v>
      </c>
      <c r="Z160" s="17">
        <v>2024</v>
      </c>
      <c r="AA160" s="17" t="s">
        <v>716</v>
      </c>
      <c r="AB160" s="81">
        <v>2024</v>
      </c>
      <c r="AC160" s="16" t="s">
        <v>716</v>
      </c>
      <c r="AD160" s="16" t="s">
        <v>850</v>
      </c>
      <c r="AE160" s="16" t="s">
        <v>865</v>
      </c>
      <c r="AF160" s="16" t="str">
        <f>_xlfn.CONCAT(EjecucionHaciendaDiciembre[[#This Row],[NOMBRE_RUBRO]]," - ",EjecucionHaciendaDiciembre[[#This Row],[NOMBRE_RECURSO]])</f>
        <v>Servicios prestados a las empresas y servicios de producción - 1.2.4.2.02 - SGP-SALUD-SALUD PUBLICA</v>
      </c>
      <c r="AH160" s="1"/>
      <c r="AI160" s="1"/>
      <c r="AJ160" s="1"/>
      <c r="AK160" s="1"/>
      <c r="AL160" s="1"/>
      <c r="AM160" s="1"/>
    </row>
    <row r="161" spans="1:39" ht="57.6" x14ac:dyDescent="0.3">
      <c r="A161" s="3" t="s">
        <v>98</v>
      </c>
      <c r="B161" s="3" t="s">
        <v>164</v>
      </c>
      <c r="C161" s="2" t="s">
        <v>238</v>
      </c>
      <c r="D161" s="2" t="s">
        <v>314</v>
      </c>
      <c r="E161" s="2" t="s">
        <v>224</v>
      </c>
      <c r="F161" s="3" t="s">
        <v>378</v>
      </c>
      <c r="G161" s="2" t="s">
        <v>448</v>
      </c>
      <c r="H161" s="3" t="s">
        <v>585</v>
      </c>
      <c r="I161" s="4">
        <v>310000000</v>
      </c>
      <c r="J161" s="4">
        <v>0</v>
      </c>
      <c r="K161" s="4">
        <v>0</v>
      </c>
      <c r="L161" s="4">
        <v>0</v>
      </c>
      <c r="M161" s="4">
        <v>0</v>
      </c>
      <c r="N161" s="4">
        <v>310000000</v>
      </c>
      <c r="O161" s="4">
        <v>310000000</v>
      </c>
      <c r="P161" s="4">
        <v>310000000</v>
      </c>
      <c r="Q161" s="4">
        <v>305620000</v>
      </c>
      <c r="R161" s="4">
        <v>305450488</v>
      </c>
      <c r="S161" s="4">
        <v>305450488</v>
      </c>
      <c r="T161" s="4">
        <v>0</v>
      </c>
      <c r="U161" s="23" t="s">
        <v>586</v>
      </c>
      <c r="V161" s="31">
        <v>190502200</v>
      </c>
      <c r="W161" s="17"/>
      <c r="X161" s="17" t="s">
        <v>750</v>
      </c>
      <c r="Y161" s="15" t="s">
        <v>779</v>
      </c>
      <c r="Z161" s="17">
        <v>2024</v>
      </c>
      <c r="AA161" s="17" t="s">
        <v>716</v>
      </c>
      <c r="AB161" s="81">
        <v>2024</v>
      </c>
      <c r="AC161" s="16" t="s">
        <v>716</v>
      </c>
      <c r="AD161" s="16" t="s">
        <v>850</v>
      </c>
      <c r="AE161" s="16" t="s">
        <v>855</v>
      </c>
      <c r="AF161" s="16" t="str">
        <f>_xlfn.CONCAT(EjecucionHaciendaDiciembre[[#This Row],[NOMBRE_RUBRO]]," - ",EjecucionHaciendaDiciembre[[#This Row],[NOMBRE_RECURSO]])</f>
        <v>Servicios prestados a las empresas y servicios de producción - 1.2.4.2.02 - SGP-SALUD-SALUD PUBLICA</v>
      </c>
      <c r="AH161" s="1"/>
      <c r="AI161" s="1"/>
      <c r="AJ161" s="1"/>
      <c r="AK161" s="1"/>
      <c r="AL161" s="1"/>
      <c r="AM161" s="1"/>
    </row>
    <row r="162" spans="1:39" ht="115.2" x14ac:dyDescent="0.3">
      <c r="A162" s="3" t="s">
        <v>98</v>
      </c>
      <c r="B162" s="3" t="s">
        <v>164</v>
      </c>
      <c r="C162" s="2" t="s">
        <v>238</v>
      </c>
      <c r="D162" s="2" t="s">
        <v>314</v>
      </c>
      <c r="E162" s="2" t="s">
        <v>224</v>
      </c>
      <c r="F162" s="3" t="s">
        <v>378</v>
      </c>
      <c r="G162" s="2" t="s">
        <v>449</v>
      </c>
      <c r="H162" s="3" t="s">
        <v>587</v>
      </c>
      <c r="I162" s="4">
        <v>480000000</v>
      </c>
      <c r="J162" s="4">
        <v>0</v>
      </c>
      <c r="K162" s="4">
        <v>0</v>
      </c>
      <c r="L162" s="4">
        <v>0</v>
      </c>
      <c r="M162" s="4">
        <v>0</v>
      </c>
      <c r="N162" s="4">
        <v>480000000</v>
      </c>
      <c r="O162" s="4">
        <v>480000000</v>
      </c>
      <c r="P162" s="4">
        <v>480000000</v>
      </c>
      <c r="Q162" s="4">
        <v>472340000</v>
      </c>
      <c r="R162" s="4">
        <v>420000000</v>
      </c>
      <c r="S162" s="4">
        <v>420000000</v>
      </c>
      <c r="T162" s="4">
        <v>0</v>
      </c>
      <c r="U162" s="23" t="s">
        <v>588</v>
      </c>
      <c r="V162" s="31">
        <v>190503100</v>
      </c>
      <c r="W162" s="17"/>
      <c r="X162" s="17" t="s">
        <v>750</v>
      </c>
      <c r="Y162" s="15" t="s">
        <v>779</v>
      </c>
      <c r="Z162" s="17">
        <v>2024</v>
      </c>
      <c r="AA162" s="17" t="s">
        <v>716</v>
      </c>
      <c r="AB162" s="81">
        <v>2024</v>
      </c>
      <c r="AC162" s="16" t="s">
        <v>716</v>
      </c>
      <c r="AD162" s="16" t="s">
        <v>850</v>
      </c>
      <c r="AE162" s="16" t="s">
        <v>865</v>
      </c>
      <c r="AF162" s="16" t="str">
        <f>_xlfn.CONCAT(EjecucionHaciendaDiciembre[[#This Row],[NOMBRE_RUBRO]]," - ",EjecucionHaciendaDiciembre[[#This Row],[NOMBRE_RECURSO]])</f>
        <v>Servicios prestados a las empresas y servicios de producción - 1.2.4.2.02 - SGP-SALUD-SALUD PUBLICA</v>
      </c>
      <c r="AH162" s="1"/>
      <c r="AI162" s="1"/>
      <c r="AJ162" s="1"/>
      <c r="AK162" s="1"/>
      <c r="AL162" s="1"/>
      <c r="AM162" s="1"/>
    </row>
    <row r="163" spans="1:39" ht="115.2" x14ac:dyDescent="0.3">
      <c r="A163" s="3" t="s">
        <v>98</v>
      </c>
      <c r="B163" s="3" t="s">
        <v>164</v>
      </c>
      <c r="C163" s="2" t="s">
        <v>238</v>
      </c>
      <c r="D163" s="2" t="s">
        <v>314</v>
      </c>
      <c r="E163" s="2" t="s">
        <v>224</v>
      </c>
      <c r="F163" s="3" t="s">
        <v>378</v>
      </c>
      <c r="G163" s="2" t="s">
        <v>450</v>
      </c>
      <c r="H163" s="3" t="s">
        <v>589</v>
      </c>
      <c r="I163" s="4">
        <v>200000000</v>
      </c>
      <c r="J163" s="4">
        <v>0</v>
      </c>
      <c r="K163" s="4">
        <v>0</v>
      </c>
      <c r="L163" s="4">
        <v>0</v>
      </c>
      <c r="M163" s="4">
        <v>0</v>
      </c>
      <c r="N163" s="4">
        <v>200000000</v>
      </c>
      <c r="O163" s="4">
        <v>200000000</v>
      </c>
      <c r="P163" s="4">
        <v>200000000</v>
      </c>
      <c r="Q163" s="4">
        <v>188090000</v>
      </c>
      <c r="R163" s="4">
        <v>188090000</v>
      </c>
      <c r="S163" s="4">
        <v>188090000</v>
      </c>
      <c r="T163" s="4">
        <v>0</v>
      </c>
      <c r="U163" s="23" t="s">
        <v>575</v>
      </c>
      <c r="V163" s="31">
        <v>190504300</v>
      </c>
      <c r="W163" s="17"/>
      <c r="X163" s="17" t="s">
        <v>750</v>
      </c>
      <c r="Y163" s="15" t="s">
        <v>779</v>
      </c>
      <c r="Z163" s="17">
        <v>2024</v>
      </c>
      <c r="AA163" s="17" t="s">
        <v>716</v>
      </c>
      <c r="AB163" s="81">
        <v>2024</v>
      </c>
      <c r="AC163" s="16" t="s">
        <v>716</v>
      </c>
      <c r="AD163" s="16" t="s">
        <v>850</v>
      </c>
      <c r="AE163" s="16" t="s">
        <v>865</v>
      </c>
      <c r="AF163" s="16" t="str">
        <f>_xlfn.CONCAT(EjecucionHaciendaDiciembre[[#This Row],[NOMBRE_RUBRO]]," - ",EjecucionHaciendaDiciembre[[#This Row],[NOMBRE_RECURSO]])</f>
        <v>Servicios prestados a las empresas y servicios de producción - 1.2.4.2.02 - SGP-SALUD-SALUD PUBLICA</v>
      </c>
      <c r="AH163" s="1"/>
      <c r="AI163" s="1"/>
      <c r="AJ163" s="1"/>
      <c r="AK163" s="1"/>
      <c r="AL163" s="1"/>
      <c r="AM163" s="1"/>
    </row>
    <row r="164" spans="1:39" ht="115.2" x14ac:dyDescent="0.3">
      <c r="A164" s="3" t="s">
        <v>98</v>
      </c>
      <c r="B164" s="3" t="s">
        <v>164</v>
      </c>
      <c r="C164" s="2" t="s">
        <v>238</v>
      </c>
      <c r="D164" s="2" t="s">
        <v>314</v>
      </c>
      <c r="E164" s="2" t="s">
        <v>224</v>
      </c>
      <c r="F164" s="3" t="s">
        <v>378</v>
      </c>
      <c r="G164" s="2" t="s">
        <v>451</v>
      </c>
      <c r="H164" s="3" t="s">
        <v>590</v>
      </c>
      <c r="I164" s="4">
        <v>380524713</v>
      </c>
      <c r="J164" s="4">
        <v>0</v>
      </c>
      <c r="K164" s="4">
        <v>0</v>
      </c>
      <c r="L164" s="4">
        <v>0</v>
      </c>
      <c r="M164" s="4">
        <v>0</v>
      </c>
      <c r="N164" s="4">
        <v>380524713</v>
      </c>
      <c r="O164" s="4">
        <v>380524713</v>
      </c>
      <c r="P164" s="4">
        <v>380524713</v>
      </c>
      <c r="Q164" s="4">
        <v>370541400</v>
      </c>
      <c r="R164" s="4">
        <v>370541400</v>
      </c>
      <c r="S164" s="4">
        <v>370541400</v>
      </c>
      <c r="T164" s="4">
        <v>0</v>
      </c>
      <c r="U164" s="23" t="s">
        <v>591</v>
      </c>
      <c r="V164" s="31">
        <v>190502100</v>
      </c>
      <c r="W164" s="17"/>
      <c r="X164" s="17" t="s">
        <v>750</v>
      </c>
      <c r="Y164" s="15" t="s">
        <v>779</v>
      </c>
      <c r="Z164" s="17">
        <v>2024</v>
      </c>
      <c r="AA164" s="17" t="s">
        <v>716</v>
      </c>
      <c r="AB164" s="81">
        <v>2024</v>
      </c>
      <c r="AC164" s="16" t="s">
        <v>716</v>
      </c>
      <c r="AD164" s="16" t="s">
        <v>850</v>
      </c>
      <c r="AE164" s="16" t="s">
        <v>865</v>
      </c>
      <c r="AF164" s="16" t="str">
        <f>_xlfn.CONCAT(EjecucionHaciendaDiciembre[[#This Row],[NOMBRE_RUBRO]]," - ",EjecucionHaciendaDiciembre[[#This Row],[NOMBRE_RECURSO]])</f>
        <v>Servicios prestados a las empresas y servicios de producción - 1.2.4.2.02 - SGP-SALUD-SALUD PUBLICA</v>
      </c>
      <c r="AH164" s="1"/>
      <c r="AI164" s="1"/>
      <c r="AJ164" s="1"/>
      <c r="AK164" s="1"/>
      <c r="AL164" s="1"/>
      <c r="AM164" s="1"/>
    </row>
    <row r="165" spans="1:39" ht="115.2" x14ac:dyDescent="0.3">
      <c r="A165" s="3" t="s">
        <v>98</v>
      </c>
      <c r="B165" s="3" t="s">
        <v>164</v>
      </c>
      <c r="C165" s="2" t="s">
        <v>238</v>
      </c>
      <c r="D165" s="2" t="s">
        <v>314</v>
      </c>
      <c r="E165" s="2" t="s">
        <v>224</v>
      </c>
      <c r="F165" s="3" t="s">
        <v>378</v>
      </c>
      <c r="G165" s="2" t="s">
        <v>421</v>
      </c>
      <c r="H165" s="3" t="s">
        <v>567</v>
      </c>
      <c r="I165" s="4">
        <v>149932000</v>
      </c>
      <c r="J165" s="4">
        <v>0</v>
      </c>
      <c r="K165" s="4">
        <v>0</v>
      </c>
      <c r="L165" s="4">
        <v>0</v>
      </c>
      <c r="M165" s="4">
        <v>0</v>
      </c>
      <c r="N165" s="4">
        <v>149932000</v>
      </c>
      <c r="O165" s="4">
        <v>149932000</v>
      </c>
      <c r="P165" s="4">
        <v>149932000</v>
      </c>
      <c r="Q165" s="4">
        <v>126866800</v>
      </c>
      <c r="R165" s="4">
        <v>111552147</v>
      </c>
      <c r="S165" s="4">
        <v>56498463</v>
      </c>
      <c r="T165" s="4">
        <v>0</v>
      </c>
      <c r="U165" s="23" t="s">
        <v>568</v>
      </c>
      <c r="V165" s="31">
        <v>190303500</v>
      </c>
      <c r="W165" s="17"/>
      <c r="X165" s="17" t="s">
        <v>750</v>
      </c>
      <c r="Y165" s="15" t="s">
        <v>779</v>
      </c>
      <c r="Z165" s="17">
        <v>2024</v>
      </c>
      <c r="AA165" s="17" t="s">
        <v>716</v>
      </c>
      <c r="AB165" s="81">
        <v>2024</v>
      </c>
      <c r="AC165" s="16" t="s">
        <v>716</v>
      </c>
      <c r="AD165" s="16" t="s">
        <v>850</v>
      </c>
      <c r="AE165" s="16" t="s">
        <v>865</v>
      </c>
      <c r="AF165" s="16" t="str">
        <f>_xlfn.CONCAT(EjecucionHaciendaDiciembre[[#This Row],[NOMBRE_RUBRO]]," - ",EjecucionHaciendaDiciembre[[#This Row],[NOMBRE_RECURSO]])</f>
        <v>Servicios prestados a las empresas y servicios de producción - 1.2.4.2.02 - SGP-SALUD-SALUD PUBLICA</v>
      </c>
      <c r="AH165" s="1"/>
      <c r="AI165" s="1"/>
      <c r="AJ165" s="1"/>
      <c r="AK165" s="1"/>
      <c r="AL165" s="1"/>
      <c r="AM165" s="1"/>
    </row>
    <row r="166" spans="1:39" ht="72" x14ac:dyDescent="0.3">
      <c r="A166" s="3" t="s">
        <v>98</v>
      </c>
      <c r="B166" s="3" t="s">
        <v>164</v>
      </c>
      <c r="C166" s="2" t="s">
        <v>238</v>
      </c>
      <c r="D166" s="2" t="s">
        <v>314</v>
      </c>
      <c r="E166" s="2" t="s">
        <v>224</v>
      </c>
      <c r="F166" s="3" t="s">
        <v>378</v>
      </c>
      <c r="G166" s="2" t="s">
        <v>452</v>
      </c>
      <c r="H166" s="3" t="s">
        <v>592</v>
      </c>
      <c r="I166" s="4">
        <v>476000927</v>
      </c>
      <c r="J166" s="4">
        <v>0</v>
      </c>
      <c r="K166" s="4">
        <v>0</v>
      </c>
      <c r="L166" s="4">
        <v>0</v>
      </c>
      <c r="M166" s="4">
        <v>0</v>
      </c>
      <c r="N166" s="4">
        <v>476000927</v>
      </c>
      <c r="O166" s="4">
        <v>476000927</v>
      </c>
      <c r="P166" s="4">
        <v>476000927</v>
      </c>
      <c r="Q166" s="4">
        <v>464450927</v>
      </c>
      <c r="R166" s="4">
        <v>457875000</v>
      </c>
      <c r="S166" s="4">
        <v>457875000</v>
      </c>
      <c r="T166" s="4">
        <v>0</v>
      </c>
      <c r="U166" s="23" t="s">
        <v>593</v>
      </c>
      <c r="V166" s="31">
        <v>190502700</v>
      </c>
      <c r="W166" s="17"/>
      <c r="X166" s="17" t="s">
        <v>750</v>
      </c>
      <c r="Y166" s="15" t="s">
        <v>779</v>
      </c>
      <c r="Z166" s="17">
        <v>2024</v>
      </c>
      <c r="AA166" s="17" t="s">
        <v>716</v>
      </c>
      <c r="AB166" s="81">
        <v>2024</v>
      </c>
      <c r="AC166" s="16" t="s">
        <v>716</v>
      </c>
      <c r="AD166" s="16" t="s">
        <v>850</v>
      </c>
      <c r="AE166" s="16" t="s">
        <v>855</v>
      </c>
      <c r="AF166" s="16" t="str">
        <f>_xlfn.CONCAT(EjecucionHaciendaDiciembre[[#This Row],[NOMBRE_RUBRO]]," - ",EjecucionHaciendaDiciembre[[#This Row],[NOMBRE_RECURSO]])</f>
        <v>Servicios prestados a las empresas y servicios de producción - 1.2.4.2.02 - SGP-SALUD-SALUD PUBLICA</v>
      </c>
      <c r="AH166" s="1"/>
      <c r="AI166" s="1"/>
      <c r="AJ166" s="1"/>
      <c r="AK166" s="1"/>
      <c r="AL166" s="1"/>
      <c r="AM166" s="1"/>
    </row>
    <row r="167" spans="1:39" ht="43.2" x14ac:dyDescent="0.3">
      <c r="A167" s="3" t="s">
        <v>98</v>
      </c>
      <c r="B167" s="3" t="s">
        <v>164</v>
      </c>
      <c r="C167" s="2" t="s">
        <v>238</v>
      </c>
      <c r="D167" s="2" t="s">
        <v>314</v>
      </c>
      <c r="E167" s="2" t="s">
        <v>224</v>
      </c>
      <c r="F167" s="3" t="s">
        <v>378</v>
      </c>
      <c r="G167" s="2" t="s">
        <v>422</v>
      </c>
      <c r="H167" s="3" t="s">
        <v>569</v>
      </c>
      <c r="I167" s="4">
        <v>0</v>
      </c>
      <c r="J167" s="4">
        <v>0</v>
      </c>
      <c r="K167" s="4">
        <v>0</v>
      </c>
      <c r="L167" s="4">
        <v>103207622.5</v>
      </c>
      <c r="M167" s="4">
        <v>0</v>
      </c>
      <c r="N167" s="4">
        <v>103207622.5</v>
      </c>
      <c r="O167" s="4">
        <v>103207622.5</v>
      </c>
      <c r="P167" s="4">
        <v>103207622.5</v>
      </c>
      <c r="Q167" s="4">
        <v>103207200</v>
      </c>
      <c r="R167" s="4">
        <v>0</v>
      </c>
      <c r="S167" s="4">
        <v>0</v>
      </c>
      <c r="T167" s="4">
        <v>0</v>
      </c>
      <c r="U167" s="23" t="s">
        <v>568</v>
      </c>
      <c r="V167" s="24">
        <v>190303500</v>
      </c>
      <c r="W167" s="17"/>
      <c r="X167" s="17" t="s">
        <v>750</v>
      </c>
      <c r="Y167" s="15" t="s">
        <v>779</v>
      </c>
      <c r="Z167" s="17">
        <v>2024</v>
      </c>
      <c r="AA167" s="17" t="s">
        <v>716</v>
      </c>
      <c r="AB167" s="81">
        <v>2024</v>
      </c>
      <c r="AC167" s="16" t="s">
        <v>716</v>
      </c>
      <c r="AD167" s="16" t="s">
        <v>850</v>
      </c>
      <c r="AE167" s="16" t="s">
        <v>855</v>
      </c>
      <c r="AF167" s="16" t="str">
        <f>_xlfn.CONCAT(EjecucionHaciendaDiciembre[[#This Row],[NOMBRE_RUBRO]]," - ",EjecucionHaciendaDiciembre[[#This Row],[NOMBRE_RECURSO]])</f>
        <v>Servicios prestados a las empresas y servicios de producción - 1.2.4.2.02 - SGP-SALUD-SALUD PUBLICA</v>
      </c>
      <c r="AH167" s="1"/>
      <c r="AI167" s="1"/>
      <c r="AJ167" s="1"/>
      <c r="AK167" s="1"/>
      <c r="AL167" s="1"/>
      <c r="AM167" s="1"/>
    </row>
    <row r="168" spans="1:39" ht="86.4" x14ac:dyDescent="0.3">
      <c r="A168" s="3" t="s">
        <v>98</v>
      </c>
      <c r="B168" s="3" t="s">
        <v>164</v>
      </c>
      <c r="C168" s="2" t="s">
        <v>238</v>
      </c>
      <c r="D168" s="2" t="s">
        <v>314</v>
      </c>
      <c r="E168" s="2" t="s">
        <v>224</v>
      </c>
      <c r="F168" s="3" t="s">
        <v>378</v>
      </c>
      <c r="G168" s="2" t="s">
        <v>453</v>
      </c>
      <c r="H168" s="3" t="s">
        <v>594</v>
      </c>
      <c r="I168" s="4">
        <v>0</v>
      </c>
      <c r="J168" s="4">
        <v>300000000</v>
      </c>
      <c r="K168" s="4">
        <v>0</v>
      </c>
      <c r="L168" s="4">
        <v>0</v>
      </c>
      <c r="M168" s="4">
        <v>0</v>
      </c>
      <c r="N168" s="4">
        <v>300000000</v>
      </c>
      <c r="O168" s="4">
        <v>300000000</v>
      </c>
      <c r="P168" s="4">
        <v>300000000</v>
      </c>
      <c r="Q168" s="4">
        <v>241071000</v>
      </c>
      <c r="R168" s="4">
        <v>0</v>
      </c>
      <c r="S168" s="4">
        <v>0</v>
      </c>
      <c r="T168" s="4">
        <v>0</v>
      </c>
      <c r="U168" s="23" t="s">
        <v>595</v>
      </c>
      <c r="V168" s="31">
        <v>190505400</v>
      </c>
      <c r="W168" s="17"/>
      <c r="X168" s="17" t="s">
        <v>750</v>
      </c>
      <c r="Y168" s="15" t="s">
        <v>779</v>
      </c>
      <c r="Z168" s="17">
        <v>2024</v>
      </c>
      <c r="AA168" s="17" t="s">
        <v>716</v>
      </c>
      <c r="AB168" s="81">
        <v>2024</v>
      </c>
      <c r="AC168" s="16" t="s">
        <v>716</v>
      </c>
      <c r="AD168" s="16" t="s">
        <v>850</v>
      </c>
      <c r="AE168" s="16" t="s">
        <v>855</v>
      </c>
      <c r="AF168" s="16" t="str">
        <f>_xlfn.CONCAT(EjecucionHaciendaDiciembre[[#This Row],[NOMBRE_RUBRO]]," - ",EjecucionHaciendaDiciembre[[#This Row],[NOMBRE_RECURSO]])</f>
        <v>Servicios prestados a las empresas y servicios de producción - 1.2.4.2.02 - SGP-SALUD-SALUD PUBLICA</v>
      </c>
      <c r="AH168" s="1"/>
      <c r="AI168" s="1"/>
      <c r="AJ168" s="1"/>
      <c r="AK168" s="1"/>
      <c r="AL168" s="1"/>
      <c r="AM168" s="1"/>
    </row>
    <row r="169" spans="1:39" ht="86.4" x14ac:dyDescent="0.3">
      <c r="A169" s="3" t="s">
        <v>98</v>
      </c>
      <c r="B169" s="3" t="s">
        <v>164</v>
      </c>
      <c r="C169" s="2" t="s">
        <v>233</v>
      </c>
      <c r="D169" s="2" t="s">
        <v>309</v>
      </c>
      <c r="E169" s="2" t="s">
        <v>371</v>
      </c>
      <c r="F169" s="3" t="s">
        <v>385</v>
      </c>
      <c r="G169" s="2" t="s">
        <v>423</v>
      </c>
      <c r="H169" s="3" t="s">
        <v>623</v>
      </c>
      <c r="I169" s="4">
        <v>0</v>
      </c>
      <c r="J169" s="4">
        <v>0</v>
      </c>
      <c r="K169" s="4">
        <v>0</v>
      </c>
      <c r="L169" s="4">
        <v>18714000</v>
      </c>
      <c r="M169" s="4">
        <v>0</v>
      </c>
      <c r="N169" s="4">
        <v>18714000</v>
      </c>
      <c r="O169" s="4">
        <v>18714000</v>
      </c>
      <c r="P169" s="4">
        <v>18714000</v>
      </c>
      <c r="Q169" s="4">
        <v>1475133</v>
      </c>
      <c r="R169" s="4">
        <v>241800</v>
      </c>
      <c r="S169" s="4">
        <v>241800</v>
      </c>
      <c r="T169" s="4">
        <v>0</v>
      </c>
      <c r="U169" s="23" t="s">
        <v>624</v>
      </c>
      <c r="V169" s="31">
        <v>459900200</v>
      </c>
      <c r="W169" s="17" t="s">
        <v>788</v>
      </c>
      <c r="X169" s="17" t="s">
        <v>749</v>
      </c>
      <c r="Y169" s="15" t="s">
        <v>781</v>
      </c>
      <c r="Z169" s="17" t="s">
        <v>780</v>
      </c>
      <c r="AA169" s="17" t="s">
        <v>833</v>
      </c>
      <c r="AB169" s="81" t="s">
        <v>780</v>
      </c>
      <c r="AC169" s="16" t="s">
        <v>716</v>
      </c>
      <c r="AD169" s="16" t="s">
        <v>848</v>
      </c>
      <c r="AE169" s="16" t="s">
        <v>855</v>
      </c>
      <c r="AF169" s="16" t="str">
        <f>_xlfn.CONCAT(EjecucionHaciendaDiciembre[[#This Row],[NOMBRE_RUBRO]]," - ",EjecucionHaciendaDiciembre[[#This Row],[NOMBRE_RECURSO]])</f>
        <v>Servicios prestados a las empresas y servicios de producción - 1.2.3.3.03 - APORTES NACION</v>
      </c>
      <c r="AH169" s="1"/>
      <c r="AI169" s="1"/>
      <c r="AJ169" s="1"/>
      <c r="AK169" s="1"/>
      <c r="AL169" s="1"/>
      <c r="AM169" s="1"/>
    </row>
    <row r="170" spans="1:39" ht="43.2" x14ac:dyDescent="0.3">
      <c r="A170" s="3" t="s">
        <v>98</v>
      </c>
      <c r="B170" s="3" t="s">
        <v>164</v>
      </c>
      <c r="C170" s="2" t="s">
        <v>233</v>
      </c>
      <c r="D170" s="2" t="s">
        <v>309</v>
      </c>
      <c r="E170" s="2" t="s">
        <v>224</v>
      </c>
      <c r="F170" s="3" t="s">
        <v>378</v>
      </c>
      <c r="G170" s="2" t="s">
        <v>454</v>
      </c>
      <c r="H170" s="3" t="s">
        <v>596</v>
      </c>
      <c r="I170" s="4">
        <v>0</v>
      </c>
      <c r="J170" s="4">
        <v>8888888.8900000006</v>
      </c>
      <c r="K170" s="4">
        <v>0</v>
      </c>
      <c r="L170" s="4">
        <v>0</v>
      </c>
      <c r="M170" s="4">
        <v>0</v>
      </c>
      <c r="N170" s="4">
        <v>8888888.8900000006</v>
      </c>
      <c r="O170" s="4">
        <v>8888888.8900000006</v>
      </c>
      <c r="P170" s="4">
        <v>8888888.8900000006</v>
      </c>
      <c r="Q170" s="4">
        <v>8888888.8900000006</v>
      </c>
      <c r="R170" s="4">
        <v>0</v>
      </c>
      <c r="S170" s="4">
        <v>0</v>
      </c>
      <c r="T170" s="4">
        <v>0</v>
      </c>
      <c r="U170" s="23" t="s">
        <v>581</v>
      </c>
      <c r="V170" s="31">
        <v>190502600</v>
      </c>
      <c r="W170" s="17"/>
      <c r="X170" s="17" t="s">
        <v>750</v>
      </c>
      <c r="Y170" s="15" t="s">
        <v>779</v>
      </c>
      <c r="Z170" s="17">
        <v>2024</v>
      </c>
      <c r="AA170" s="17" t="s">
        <v>716</v>
      </c>
      <c r="AB170" s="81">
        <v>2024</v>
      </c>
      <c r="AC170" s="16" t="s">
        <v>716</v>
      </c>
      <c r="AD170" s="16" t="s">
        <v>848</v>
      </c>
      <c r="AE170" s="16" t="s">
        <v>855</v>
      </c>
      <c r="AF170" s="16" t="str">
        <f>_xlfn.CONCAT(EjecucionHaciendaDiciembre[[#This Row],[NOMBRE_RUBRO]]," - ",EjecucionHaciendaDiciembre[[#This Row],[NOMBRE_RECURSO]])</f>
        <v>Servicios prestados a las empresas y servicios de producción - 1.2.3.3.03 - APORTES NACION</v>
      </c>
      <c r="AH170" s="1"/>
      <c r="AI170" s="1"/>
      <c r="AJ170" s="1"/>
      <c r="AK170" s="1"/>
      <c r="AL170" s="1"/>
      <c r="AM170" s="1"/>
    </row>
    <row r="171" spans="1:39" ht="43.2" x14ac:dyDescent="0.3">
      <c r="A171" s="32" t="s">
        <v>98</v>
      </c>
      <c r="B171" s="32" t="s">
        <v>164</v>
      </c>
      <c r="C171" s="33" t="s">
        <v>249</v>
      </c>
      <c r="D171" s="33" t="s">
        <v>325</v>
      </c>
      <c r="E171" s="33" t="s">
        <v>373</v>
      </c>
      <c r="F171" s="32" t="s">
        <v>388</v>
      </c>
      <c r="G171" s="33" t="s">
        <v>399</v>
      </c>
      <c r="H171" s="32"/>
      <c r="I171" s="34">
        <v>412780000</v>
      </c>
      <c r="J171" s="34">
        <v>0</v>
      </c>
      <c r="K171" s="34">
        <v>0</v>
      </c>
      <c r="L171" s="34">
        <v>0</v>
      </c>
      <c r="M171" s="34">
        <v>0</v>
      </c>
      <c r="N171" s="34">
        <v>412780000</v>
      </c>
      <c r="O171" s="34">
        <v>0</v>
      </c>
      <c r="P171" s="34">
        <v>0</v>
      </c>
      <c r="Q171" s="34">
        <v>0</v>
      </c>
      <c r="R171" s="34">
        <v>0</v>
      </c>
      <c r="S171" s="34">
        <v>0</v>
      </c>
      <c r="T171" s="34">
        <v>412780000</v>
      </c>
      <c r="U171" s="35"/>
      <c r="V171" s="85"/>
      <c r="W171" s="17"/>
      <c r="X171" s="17" t="s">
        <v>716</v>
      </c>
      <c r="Y171" s="15"/>
      <c r="Z171" s="17"/>
      <c r="AA171" s="17" t="s">
        <v>716</v>
      </c>
      <c r="AB171" s="81"/>
      <c r="AC171" s="16" t="s">
        <v>716</v>
      </c>
      <c r="AD171" s="16" t="s">
        <v>848</v>
      </c>
      <c r="AE171" s="16" t="s">
        <v>855</v>
      </c>
      <c r="AF171" s="16" t="str">
        <f>_xlfn.CONCAT(EjecucionHaciendaDiciembre[[#This Row],[NOMBRE_RUBRO]]," - ",EjecucionHaciendaDiciembre[[#This Row],[NOMBRE_RECURSO]])</f>
        <v>Servicios prestados a las empresas y servicios de producción - 1.2.3.2.07 - OTRAS MULTAS, SANCIONES E INTERESES DE MORA</v>
      </c>
      <c r="AH171" s="1"/>
      <c r="AI171" s="1"/>
      <c r="AJ171" s="1"/>
      <c r="AK171" s="1"/>
      <c r="AL171" s="1"/>
      <c r="AM171" s="1"/>
    </row>
    <row r="172" spans="1:39" ht="43.2" x14ac:dyDescent="0.3">
      <c r="A172" s="25" t="s">
        <v>98</v>
      </c>
      <c r="B172" s="25" t="s">
        <v>164</v>
      </c>
      <c r="C172" s="26" t="s">
        <v>249</v>
      </c>
      <c r="D172" s="26" t="s">
        <v>325</v>
      </c>
      <c r="E172" s="26" t="s">
        <v>373</v>
      </c>
      <c r="F172" s="25" t="s">
        <v>388</v>
      </c>
      <c r="G172" s="26" t="s">
        <v>455</v>
      </c>
      <c r="H172" s="25" t="s">
        <v>671</v>
      </c>
      <c r="I172" s="27">
        <v>92500000</v>
      </c>
      <c r="J172" s="27">
        <v>0</v>
      </c>
      <c r="K172" s="27">
        <v>0</v>
      </c>
      <c r="L172" s="27">
        <v>0</v>
      </c>
      <c r="M172" s="27">
        <v>0</v>
      </c>
      <c r="N172" s="27">
        <v>92500000</v>
      </c>
      <c r="O172" s="27">
        <v>0</v>
      </c>
      <c r="P172" s="27">
        <v>0</v>
      </c>
      <c r="Q172" s="27">
        <v>0</v>
      </c>
      <c r="R172" s="27">
        <v>0</v>
      </c>
      <c r="S172" s="27">
        <v>0</v>
      </c>
      <c r="T172" s="27">
        <v>92500000</v>
      </c>
      <c r="U172" s="28" t="s">
        <v>718</v>
      </c>
      <c r="V172" s="53">
        <v>240901200</v>
      </c>
      <c r="W172" s="17" t="s">
        <v>724</v>
      </c>
      <c r="X172" s="17" t="s">
        <v>716</v>
      </c>
      <c r="Y172" s="15"/>
      <c r="Z172" s="17"/>
      <c r="AA172" s="17" t="s">
        <v>716</v>
      </c>
      <c r="AB172" s="81"/>
      <c r="AC172" s="16" t="s">
        <v>716</v>
      </c>
      <c r="AD172" s="16" t="s">
        <v>848</v>
      </c>
      <c r="AE172" s="16" t="s">
        <v>855</v>
      </c>
      <c r="AF172" s="16" t="str">
        <f>_xlfn.CONCAT(EjecucionHaciendaDiciembre[[#This Row],[NOMBRE_RUBRO]]," - ",EjecucionHaciendaDiciembre[[#This Row],[NOMBRE_RECURSO]])</f>
        <v>Servicios prestados a las empresas y servicios de producción - 1.2.3.2.07 - OTRAS MULTAS, SANCIONES E INTERESES DE MORA</v>
      </c>
      <c r="AH172" s="1"/>
      <c r="AI172" s="1"/>
      <c r="AJ172" s="1"/>
      <c r="AK172" s="1"/>
      <c r="AL172" s="1"/>
      <c r="AM172" s="1"/>
    </row>
    <row r="173" spans="1:39" ht="43.2" x14ac:dyDescent="0.3">
      <c r="A173" s="3" t="s">
        <v>98</v>
      </c>
      <c r="B173" s="3" t="s">
        <v>164</v>
      </c>
      <c r="C173" s="2" t="s">
        <v>218</v>
      </c>
      <c r="D173" s="2" t="s">
        <v>294</v>
      </c>
      <c r="E173" s="2" t="s">
        <v>374</v>
      </c>
      <c r="F173" s="3" t="s">
        <v>389</v>
      </c>
      <c r="G173" s="2" t="s">
        <v>456</v>
      </c>
      <c r="H173" s="3" t="s">
        <v>564</v>
      </c>
      <c r="I173" s="4">
        <v>0</v>
      </c>
      <c r="J173" s="4">
        <v>92500000</v>
      </c>
      <c r="K173" s="4">
        <v>0</v>
      </c>
      <c r="L173" s="4">
        <v>0</v>
      </c>
      <c r="M173" s="4">
        <v>0</v>
      </c>
      <c r="N173" s="4">
        <v>92500000</v>
      </c>
      <c r="O173" s="4">
        <v>92500000</v>
      </c>
      <c r="P173" s="4">
        <v>92500000</v>
      </c>
      <c r="Q173" s="4">
        <v>72785375</v>
      </c>
      <c r="R173" s="4">
        <v>65750000</v>
      </c>
      <c r="S173" s="4">
        <v>33550000</v>
      </c>
      <c r="T173" s="4">
        <v>0</v>
      </c>
      <c r="U173" s="23" t="s">
        <v>719</v>
      </c>
      <c r="V173" s="31">
        <v>230202400</v>
      </c>
      <c r="W173" s="17" t="s">
        <v>830</v>
      </c>
      <c r="X173" s="17" t="s">
        <v>748</v>
      </c>
      <c r="Y173" s="15" t="s">
        <v>779</v>
      </c>
      <c r="Z173" s="17">
        <v>2024</v>
      </c>
      <c r="AA173" s="17" t="s">
        <v>716</v>
      </c>
      <c r="AB173" s="81">
        <v>2024</v>
      </c>
      <c r="AC173" s="16" t="s">
        <v>716</v>
      </c>
      <c r="AD173" s="16" t="s">
        <v>849</v>
      </c>
      <c r="AE173" s="16" t="s">
        <v>855</v>
      </c>
      <c r="AF173" s="16" t="str">
        <f>_xlfn.CONCAT(EjecucionHaciendaDiciembre[[#This Row],[NOMBRE_RUBRO]]," - ",EjecucionHaciendaDiciembre[[#This Row],[NOMBRE_RECURSO]])</f>
        <v>Servicios prestados a las empresas y servicios de producción - 1.3.3.1.00-RECURSOS DEL BALANCE DE LIBRE DESTINACION</v>
      </c>
      <c r="AH173" s="1"/>
      <c r="AI173" s="1"/>
      <c r="AJ173" s="1"/>
      <c r="AK173" s="1"/>
      <c r="AL173" s="1"/>
      <c r="AM173" s="1"/>
    </row>
    <row r="174" spans="1:39" ht="57.6" x14ac:dyDescent="0.3">
      <c r="A174" s="3" t="s">
        <v>98</v>
      </c>
      <c r="B174" s="3" t="s">
        <v>164</v>
      </c>
      <c r="C174" s="2" t="s">
        <v>218</v>
      </c>
      <c r="D174" s="2" t="s">
        <v>294</v>
      </c>
      <c r="E174" s="2" t="s">
        <v>375</v>
      </c>
      <c r="F174" s="3" t="s">
        <v>390</v>
      </c>
      <c r="G174" s="2" t="s">
        <v>457</v>
      </c>
      <c r="H174" s="3" t="s">
        <v>600</v>
      </c>
      <c r="I174" s="4">
        <v>0</v>
      </c>
      <c r="J174" s="4">
        <v>400000000</v>
      </c>
      <c r="K174" s="4">
        <v>0</v>
      </c>
      <c r="L174" s="4">
        <v>400000000</v>
      </c>
      <c r="M174" s="4">
        <v>400000000</v>
      </c>
      <c r="N174" s="4">
        <v>400000000</v>
      </c>
      <c r="O174" s="4">
        <v>400000000</v>
      </c>
      <c r="P174" s="4">
        <v>400000000</v>
      </c>
      <c r="Q174" s="4">
        <v>400000000</v>
      </c>
      <c r="R174" s="4">
        <v>307753500</v>
      </c>
      <c r="S174" s="4">
        <v>307753500</v>
      </c>
      <c r="T174" s="4">
        <v>0</v>
      </c>
      <c r="U174" s="23" t="s">
        <v>727</v>
      </c>
      <c r="V174" s="31">
        <v>459902900</v>
      </c>
      <c r="W174" s="17" t="s">
        <v>830</v>
      </c>
      <c r="X174" s="17" t="s">
        <v>750</v>
      </c>
      <c r="Y174" s="15" t="s">
        <v>779</v>
      </c>
      <c r="Z174" s="17">
        <v>2024</v>
      </c>
      <c r="AA174" s="17" t="s">
        <v>716</v>
      </c>
      <c r="AB174" s="81">
        <v>2024</v>
      </c>
      <c r="AC174" s="16" t="s">
        <v>716</v>
      </c>
      <c r="AD174" s="16" t="s">
        <v>849</v>
      </c>
      <c r="AE174" s="16" t="s">
        <v>855</v>
      </c>
      <c r="AF174" s="16" t="str">
        <f>_xlfn.CONCAT(EjecucionHaciendaDiciembre[[#This Row],[NOMBRE_RUBRO]]," - ",EjecucionHaciendaDiciembre[[#This Row],[NOMBRE_RECURSO]])</f>
        <v>Servicios prestados a las empresas y servicios de producción - 1.3.3.1.00-RECURSOS DEL BALANCE DE LIBRE DESTINACION</v>
      </c>
      <c r="AH174" s="1"/>
      <c r="AI174" s="1"/>
      <c r="AJ174" s="1"/>
      <c r="AK174" s="1"/>
      <c r="AL174" s="1"/>
      <c r="AM174" s="1"/>
    </row>
    <row r="175" spans="1:39" ht="66" customHeight="1" x14ac:dyDescent="0.3">
      <c r="A175" s="3" t="s">
        <v>98</v>
      </c>
      <c r="B175" s="3" t="s">
        <v>164</v>
      </c>
      <c r="C175" s="2" t="s">
        <v>218</v>
      </c>
      <c r="D175" s="2" t="s">
        <v>294</v>
      </c>
      <c r="E175" s="2" t="s">
        <v>367</v>
      </c>
      <c r="F175" s="3" t="s">
        <v>379</v>
      </c>
      <c r="G175" s="2" t="s">
        <v>458</v>
      </c>
      <c r="H175" s="3" t="s">
        <v>688</v>
      </c>
      <c r="I175" s="4">
        <v>0</v>
      </c>
      <c r="J175" s="4">
        <v>499950000</v>
      </c>
      <c r="K175" s="4">
        <v>0</v>
      </c>
      <c r="L175" s="4">
        <v>0</v>
      </c>
      <c r="M175" s="4">
        <v>0</v>
      </c>
      <c r="N175" s="4">
        <v>499950000</v>
      </c>
      <c r="O175" s="4">
        <v>499950000</v>
      </c>
      <c r="P175" s="4">
        <v>499950000</v>
      </c>
      <c r="Q175" s="4">
        <v>499945363</v>
      </c>
      <c r="R175" s="4">
        <v>494269150.91000003</v>
      </c>
      <c r="S175" s="4">
        <v>494269150.91000003</v>
      </c>
      <c r="T175" s="4">
        <v>0</v>
      </c>
      <c r="U175" s="23" t="s">
        <v>728</v>
      </c>
      <c r="V175" s="31">
        <v>450203300</v>
      </c>
      <c r="W175" s="17" t="s">
        <v>830</v>
      </c>
      <c r="X175" s="17" t="s">
        <v>755</v>
      </c>
      <c r="Y175" s="15" t="s">
        <v>779</v>
      </c>
      <c r="Z175" s="17">
        <v>2024</v>
      </c>
      <c r="AA175" s="17" t="s">
        <v>716</v>
      </c>
      <c r="AB175" s="81">
        <v>2024</v>
      </c>
      <c r="AC175" s="16" t="s">
        <v>716</v>
      </c>
      <c r="AD175" s="16" t="s">
        <v>849</v>
      </c>
      <c r="AE175" s="16" t="s">
        <v>855</v>
      </c>
      <c r="AF175" s="16" t="str">
        <f>_xlfn.CONCAT(EjecucionHaciendaDiciembre[[#This Row],[NOMBRE_RUBRO]]," - ",EjecucionHaciendaDiciembre[[#This Row],[NOMBRE_RECURSO]])</f>
        <v>Servicios prestados a las empresas y servicios de producción - 1.3.3.1.00-RECURSOS DEL BALANCE DE LIBRE DESTINACION</v>
      </c>
      <c r="AH175" s="1"/>
      <c r="AI175" s="1"/>
      <c r="AJ175" s="1"/>
      <c r="AK175" s="1"/>
      <c r="AL175" s="1"/>
      <c r="AM175" s="1"/>
    </row>
    <row r="176" spans="1:39" ht="58.2" customHeight="1" x14ac:dyDescent="0.3">
      <c r="A176" s="3" t="s">
        <v>98</v>
      </c>
      <c r="B176" s="3" t="s">
        <v>164</v>
      </c>
      <c r="C176" s="2" t="s">
        <v>244</v>
      </c>
      <c r="D176" s="2" t="s">
        <v>320</v>
      </c>
      <c r="E176" s="2" t="s">
        <v>224</v>
      </c>
      <c r="F176" s="3" t="s">
        <v>378</v>
      </c>
      <c r="G176" s="2" t="s">
        <v>436</v>
      </c>
      <c r="H176" s="3" t="s">
        <v>574</v>
      </c>
      <c r="I176" s="4">
        <v>0</v>
      </c>
      <c r="J176" s="4">
        <v>33606366.240000002</v>
      </c>
      <c r="K176" s="4">
        <v>0</v>
      </c>
      <c r="L176" s="4">
        <v>0</v>
      </c>
      <c r="M176" s="4">
        <v>0</v>
      </c>
      <c r="N176" s="4">
        <v>33606366.240000002</v>
      </c>
      <c r="O176" s="4">
        <v>33606366.240000002</v>
      </c>
      <c r="P176" s="4">
        <v>33606366.240000002</v>
      </c>
      <c r="Q176" s="4">
        <v>33606366.240000002</v>
      </c>
      <c r="R176" s="4">
        <v>0</v>
      </c>
      <c r="S176" s="4">
        <v>0</v>
      </c>
      <c r="T176" s="4">
        <v>0</v>
      </c>
      <c r="U176" s="23" t="s">
        <v>575</v>
      </c>
      <c r="V176" s="31">
        <v>190504300</v>
      </c>
      <c r="W176" s="17"/>
      <c r="X176" s="17" t="s">
        <v>750</v>
      </c>
      <c r="Y176" s="15" t="s">
        <v>779</v>
      </c>
      <c r="Z176" s="17">
        <v>2024</v>
      </c>
      <c r="AA176" s="17" t="s">
        <v>716</v>
      </c>
      <c r="AB176" s="81">
        <v>2024</v>
      </c>
      <c r="AC176" s="16" t="s">
        <v>716</v>
      </c>
      <c r="AD176" s="16" t="s">
        <v>850</v>
      </c>
      <c r="AE176" s="16" t="s">
        <v>855</v>
      </c>
      <c r="AF176" s="16" t="str">
        <f>_xlfn.CONCAT(EjecucionHaciendaDiciembre[[#This Row],[NOMBRE_RUBRO]]," - ",EjecucionHaciendaDiciembre[[#This Row],[NOMBRE_RECURSO]])</f>
        <v>Servicios prestados a las empresas y servicios de producción - 1.3.3.7.02-R.B. SGP-SALUD-SALUD PUBLICA</v>
      </c>
      <c r="AH176" s="1"/>
      <c r="AI176" s="1"/>
      <c r="AJ176" s="1"/>
      <c r="AK176" s="1"/>
      <c r="AL176" s="1"/>
      <c r="AM176" s="1"/>
    </row>
    <row r="177" spans="1:39" ht="43.2" x14ac:dyDescent="0.3">
      <c r="A177" s="3" t="s">
        <v>98</v>
      </c>
      <c r="B177" s="3" t="s">
        <v>164</v>
      </c>
      <c r="C177" s="2" t="s">
        <v>244</v>
      </c>
      <c r="D177" s="2" t="s">
        <v>320</v>
      </c>
      <c r="E177" s="2" t="s">
        <v>224</v>
      </c>
      <c r="F177" s="3" t="s">
        <v>378</v>
      </c>
      <c r="G177" s="2" t="s">
        <v>810</v>
      </c>
      <c r="H177" s="3" t="s">
        <v>809</v>
      </c>
      <c r="I177" s="4">
        <v>0</v>
      </c>
      <c r="J177" s="4">
        <v>81798700</v>
      </c>
      <c r="K177" s="4">
        <v>0</v>
      </c>
      <c r="L177" s="4">
        <v>0</v>
      </c>
      <c r="M177" s="4">
        <v>0</v>
      </c>
      <c r="N177" s="4">
        <v>81798700</v>
      </c>
      <c r="O177" s="4">
        <v>81798700</v>
      </c>
      <c r="P177" s="4">
        <v>81798700</v>
      </c>
      <c r="Q177" s="4">
        <v>81798700</v>
      </c>
      <c r="R177" s="4">
        <v>0</v>
      </c>
      <c r="S177" s="4">
        <v>0</v>
      </c>
      <c r="T177" s="4">
        <v>0</v>
      </c>
      <c r="U177" s="23"/>
      <c r="V177" s="24"/>
      <c r="W177" s="17"/>
      <c r="X177" s="17" t="s">
        <v>716</v>
      </c>
      <c r="Y177" s="15"/>
      <c r="Z177" s="17">
        <v>2024</v>
      </c>
      <c r="AA177" s="17" t="s">
        <v>833</v>
      </c>
      <c r="AB177" s="81">
        <v>2024</v>
      </c>
      <c r="AC177" s="16" t="s">
        <v>716</v>
      </c>
      <c r="AD177" s="16" t="s">
        <v>850</v>
      </c>
      <c r="AE177" s="16" t="s">
        <v>716</v>
      </c>
      <c r="AF177" s="16" t="str">
        <f>_xlfn.CONCAT(EjecucionHaciendaDiciembre[[#This Row],[NOMBRE_RUBRO]]," - ",EjecucionHaciendaDiciembre[[#This Row],[NOMBRE_RECURSO]])</f>
        <v>Servicios prestados a las empresas y servicios de producción - 1.3.3.7.02-R.B. SGP-SALUD-SALUD PUBLICA</v>
      </c>
      <c r="AH177" s="1"/>
      <c r="AI177" s="1"/>
      <c r="AJ177" s="1"/>
      <c r="AK177" s="1"/>
      <c r="AL177" s="1"/>
      <c r="AM177" s="1"/>
    </row>
    <row r="178" spans="1:39" ht="99.75" customHeight="1" x14ac:dyDescent="0.3">
      <c r="A178" s="3" t="s">
        <v>98</v>
      </c>
      <c r="B178" s="3" t="s">
        <v>164</v>
      </c>
      <c r="C178" s="2" t="s">
        <v>219</v>
      </c>
      <c r="D178" s="2" t="s">
        <v>295</v>
      </c>
      <c r="E178" s="2" t="s">
        <v>372</v>
      </c>
      <c r="F178" s="3" t="s">
        <v>387</v>
      </c>
      <c r="G178" s="2" t="s">
        <v>459</v>
      </c>
      <c r="H178" s="3" t="s">
        <v>608</v>
      </c>
      <c r="I178" s="4">
        <v>0</v>
      </c>
      <c r="J178" s="4">
        <v>487223608</v>
      </c>
      <c r="K178" s="4">
        <v>0</v>
      </c>
      <c r="L178" s="4">
        <v>0</v>
      </c>
      <c r="M178" s="4">
        <v>0</v>
      </c>
      <c r="N178" s="4">
        <v>487223608</v>
      </c>
      <c r="O178" s="4">
        <v>487223608</v>
      </c>
      <c r="P178" s="4">
        <v>487223608</v>
      </c>
      <c r="Q178" s="4">
        <v>487223608</v>
      </c>
      <c r="R178" s="4">
        <v>487223608</v>
      </c>
      <c r="S178" s="4">
        <v>487223608</v>
      </c>
      <c r="T178" s="4">
        <v>0</v>
      </c>
      <c r="U178" s="23" t="s">
        <v>729</v>
      </c>
      <c r="V178" s="31">
        <v>320800800</v>
      </c>
      <c r="W178" s="17" t="s">
        <v>789</v>
      </c>
      <c r="X178" s="17" t="s">
        <v>748</v>
      </c>
      <c r="Y178" s="15" t="s">
        <v>779</v>
      </c>
      <c r="Z178" s="17">
        <v>2024</v>
      </c>
      <c r="AA178" s="17" t="s">
        <v>716</v>
      </c>
      <c r="AB178" s="81">
        <v>2024</v>
      </c>
      <c r="AC178" s="16" t="s">
        <v>716</v>
      </c>
      <c r="AD178" s="16" t="s">
        <v>849</v>
      </c>
      <c r="AE178" s="16" t="s">
        <v>855</v>
      </c>
      <c r="AF178" s="16" t="str">
        <f>_xlfn.CONCAT(EjecucionHaciendaDiciembre[[#This Row],[NOMBRE_RUBRO]]," - ",EjecucionHaciendaDiciembre[[#This Row],[NOMBRE_RECURSO]])</f>
        <v>Servicios prestados a las empresas y servicios de producción - 1.3.2.3.11-OTROS RENDIMIENTOS FINANCIEROS ICLD</v>
      </c>
      <c r="AH178" s="1"/>
      <c r="AI178" s="1"/>
      <c r="AJ178" s="1"/>
      <c r="AK178" s="1"/>
      <c r="AL178" s="1"/>
      <c r="AM178" s="1"/>
    </row>
    <row r="179" spans="1:39" ht="28.8" x14ac:dyDescent="0.3">
      <c r="A179" s="32" t="s">
        <v>98</v>
      </c>
      <c r="B179" s="32" t="s">
        <v>164</v>
      </c>
      <c r="C179" s="33" t="s">
        <v>250</v>
      </c>
      <c r="D179" s="33" t="s">
        <v>326</v>
      </c>
      <c r="E179" s="33" t="s">
        <v>373</v>
      </c>
      <c r="F179" s="32" t="s">
        <v>388</v>
      </c>
      <c r="G179" s="33" t="s">
        <v>399</v>
      </c>
      <c r="H179" s="32"/>
      <c r="I179" s="34">
        <v>1283920000</v>
      </c>
      <c r="J179" s="34">
        <v>0</v>
      </c>
      <c r="K179" s="34">
        <v>0</v>
      </c>
      <c r="L179" s="34">
        <v>0</v>
      </c>
      <c r="M179" s="34">
        <v>1276615902</v>
      </c>
      <c r="N179" s="34">
        <v>7304098</v>
      </c>
      <c r="O179" s="34">
        <v>0</v>
      </c>
      <c r="P179" s="34">
        <v>0</v>
      </c>
      <c r="Q179" s="34">
        <v>0</v>
      </c>
      <c r="R179" s="34">
        <v>0</v>
      </c>
      <c r="S179" s="34">
        <v>0</v>
      </c>
      <c r="T179" s="34">
        <v>7304098</v>
      </c>
      <c r="U179" s="35"/>
      <c r="V179" s="85"/>
      <c r="W179" s="17"/>
      <c r="X179" s="17" t="s">
        <v>716</v>
      </c>
      <c r="Y179" s="15"/>
      <c r="Z179" s="17"/>
      <c r="AA179" s="17" t="s">
        <v>716</v>
      </c>
      <c r="AB179" s="81"/>
      <c r="AC179" s="16" t="s">
        <v>716</v>
      </c>
      <c r="AD179" s="16" t="s">
        <v>848</v>
      </c>
      <c r="AE179" s="16" t="s">
        <v>855</v>
      </c>
      <c r="AF179" s="16" t="str">
        <f>_xlfn.CONCAT(EjecucionHaciendaDiciembre[[#This Row],[NOMBRE_RUBRO]]," - ",EjecucionHaciendaDiciembre[[#This Row],[NOMBRE_RECURSO]])</f>
        <v>Servicios prestados a las empresas y servicios de producción - 1.2.3.2.21-DERECHOS DE TRANSITO</v>
      </c>
      <c r="AH179" s="1"/>
      <c r="AI179" s="1"/>
      <c r="AJ179" s="1"/>
      <c r="AK179" s="1"/>
      <c r="AL179" s="1"/>
      <c r="AM179" s="1"/>
    </row>
    <row r="180" spans="1:39" ht="43.2" x14ac:dyDescent="0.3">
      <c r="A180" s="3" t="s">
        <v>98</v>
      </c>
      <c r="B180" s="3" t="s">
        <v>164</v>
      </c>
      <c r="C180" s="2" t="s">
        <v>250</v>
      </c>
      <c r="D180" s="2" t="s">
        <v>326</v>
      </c>
      <c r="E180" s="2" t="s">
        <v>373</v>
      </c>
      <c r="F180" s="3" t="s">
        <v>388</v>
      </c>
      <c r="G180" s="2" t="s">
        <v>460</v>
      </c>
      <c r="H180" s="3" t="s">
        <v>672</v>
      </c>
      <c r="I180" s="4">
        <v>0</v>
      </c>
      <c r="J180" s="4">
        <v>0</v>
      </c>
      <c r="K180" s="4">
        <v>0</v>
      </c>
      <c r="L180" s="4">
        <v>513837490</v>
      </c>
      <c r="M180" s="4">
        <v>0</v>
      </c>
      <c r="N180" s="4">
        <v>513837490</v>
      </c>
      <c r="O180" s="4">
        <v>513837490</v>
      </c>
      <c r="P180" s="4">
        <v>513837490</v>
      </c>
      <c r="Q180" s="4">
        <v>511072000</v>
      </c>
      <c r="R180" s="4">
        <v>511072000</v>
      </c>
      <c r="S180" s="4">
        <v>102214400</v>
      </c>
      <c r="T180" s="4">
        <v>0</v>
      </c>
      <c r="U180" s="23" t="s">
        <v>730</v>
      </c>
      <c r="V180" s="31">
        <v>240900900</v>
      </c>
      <c r="W180" s="17" t="s">
        <v>789</v>
      </c>
      <c r="X180" s="17" t="s">
        <v>750</v>
      </c>
      <c r="Y180" s="15" t="s">
        <v>779</v>
      </c>
      <c r="Z180" s="17">
        <v>2024</v>
      </c>
      <c r="AA180" s="17" t="s">
        <v>716</v>
      </c>
      <c r="AB180" s="81">
        <v>2024</v>
      </c>
      <c r="AC180" s="16" t="s">
        <v>716</v>
      </c>
      <c r="AD180" s="16" t="s">
        <v>848</v>
      </c>
      <c r="AE180" s="16" t="s">
        <v>872</v>
      </c>
      <c r="AF180" s="16" t="str">
        <f>_xlfn.CONCAT(EjecucionHaciendaDiciembre[[#This Row],[NOMBRE_RUBRO]]," - ",EjecucionHaciendaDiciembre[[#This Row],[NOMBRE_RECURSO]])</f>
        <v>Servicios prestados a las empresas y servicios de producción - 1.2.3.2.21-DERECHOS DE TRANSITO</v>
      </c>
      <c r="AH180" s="1"/>
      <c r="AI180" s="1"/>
      <c r="AJ180" s="1"/>
      <c r="AK180" s="1"/>
      <c r="AL180" s="1"/>
      <c r="AM180" s="1"/>
    </row>
    <row r="181" spans="1:39" ht="72" x14ac:dyDescent="0.3">
      <c r="A181" s="40" t="s">
        <v>98</v>
      </c>
      <c r="B181" s="40" t="s">
        <v>164</v>
      </c>
      <c r="C181" s="41" t="s">
        <v>250</v>
      </c>
      <c r="D181" s="41" t="s">
        <v>326</v>
      </c>
      <c r="E181" s="41" t="s">
        <v>373</v>
      </c>
      <c r="F181" s="40" t="s">
        <v>388</v>
      </c>
      <c r="G181" s="41" t="s">
        <v>461</v>
      </c>
      <c r="H181" s="40" t="s">
        <v>673</v>
      </c>
      <c r="I181" s="42">
        <v>0</v>
      </c>
      <c r="J181" s="42">
        <v>0</v>
      </c>
      <c r="K181" s="42">
        <v>0</v>
      </c>
      <c r="L181" s="42">
        <v>398422660</v>
      </c>
      <c r="M181" s="42">
        <v>0</v>
      </c>
      <c r="N181" s="42">
        <v>398422660</v>
      </c>
      <c r="O181" s="42">
        <v>398422660</v>
      </c>
      <c r="P181" s="43">
        <v>398422660</v>
      </c>
      <c r="Q181" s="42">
        <v>0</v>
      </c>
      <c r="R181" s="42">
        <v>0</v>
      </c>
      <c r="S181" s="42">
        <v>0</v>
      </c>
      <c r="T181" s="42">
        <v>0</v>
      </c>
      <c r="U181" s="44" t="s">
        <v>718</v>
      </c>
      <c r="V181" s="45">
        <v>240901200</v>
      </c>
      <c r="W181" s="17" t="s">
        <v>813</v>
      </c>
      <c r="X181" s="17" t="s">
        <v>756</v>
      </c>
      <c r="Y181" s="15" t="s">
        <v>781</v>
      </c>
      <c r="Z181" s="17">
        <v>2025</v>
      </c>
      <c r="AA181" s="17" t="s">
        <v>716</v>
      </c>
      <c r="AB181" s="81">
        <v>2025</v>
      </c>
      <c r="AC181" s="16" t="s">
        <v>716</v>
      </c>
      <c r="AD181" s="16" t="s">
        <v>848</v>
      </c>
      <c r="AE181" s="16" t="s">
        <v>873</v>
      </c>
      <c r="AF181" s="16" t="str">
        <f>_xlfn.CONCAT(EjecucionHaciendaDiciembre[[#This Row],[NOMBRE_RUBRO]]," - ",EjecucionHaciendaDiciembre[[#This Row],[NOMBRE_RECURSO]])</f>
        <v>Servicios prestados a las empresas y servicios de producción - 1.2.3.2.21-DERECHOS DE TRANSITO</v>
      </c>
      <c r="AH181" s="1"/>
      <c r="AI181" s="1"/>
      <c r="AJ181" s="1"/>
      <c r="AK181" s="1"/>
      <c r="AL181" s="1"/>
      <c r="AM181" s="1"/>
    </row>
    <row r="182" spans="1:39" ht="72" x14ac:dyDescent="0.3">
      <c r="A182" s="3" t="s">
        <v>98</v>
      </c>
      <c r="B182" s="3" t="s">
        <v>164</v>
      </c>
      <c r="C182" s="2" t="s">
        <v>250</v>
      </c>
      <c r="D182" s="2" t="s">
        <v>326</v>
      </c>
      <c r="E182" s="2" t="s">
        <v>373</v>
      </c>
      <c r="F182" s="3" t="s">
        <v>388</v>
      </c>
      <c r="G182" s="2" t="s">
        <v>462</v>
      </c>
      <c r="H182" s="3" t="s">
        <v>674</v>
      </c>
      <c r="I182" s="4">
        <v>0</v>
      </c>
      <c r="J182" s="4">
        <v>0</v>
      </c>
      <c r="K182" s="4">
        <v>0</v>
      </c>
      <c r="L182" s="4">
        <v>364355752</v>
      </c>
      <c r="M182" s="4">
        <v>0</v>
      </c>
      <c r="N182" s="4">
        <v>364355752</v>
      </c>
      <c r="O182" s="4">
        <v>364355752</v>
      </c>
      <c r="P182" s="4">
        <v>364355752</v>
      </c>
      <c r="Q182" s="4">
        <v>363569000</v>
      </c>
      <c r="R182" s="4">
        <v>363569000</v>
      </c>
      <c r="S182" s="4">
        <v>363569000</v>
      </c>
      <c r="T182" s="4">
        <v>0</v>
      </c>
      <c r="U182" s="23" t="s">
        <v>730</v>
      </c>
      <c r="V182" s="31">
        <v>240900900</v>
      </c>
      <c r="W182" s="17" t="s">
        <v>789</v>
      </c>
      <c r="X182" s="17" t="s">
        <v>750</v>
      </c>
      <c r="Y182" s="15" t="s">
        <v>779</v>
      </c>
      <c r="Z182" s="17">
        <v>2024</v>
      </c>
      <c r="AA182" s="17" t="s">
        <v>716</v>
      </c>
      <c r="AB182" s="81">
        <v>2024</v>
      </c>
      <c r="AC182" s="16" t="s">
        <v>716</v>
      </c>
      <c r="AD182" s="16" t="s">
        <v>848</v>
      </c>
      <c r="AE182" s="16" t="s">
        <v>874</v>
      </c>
      <c r="AF182" s="16" t="str">
        <f>_xlfn.CONCAT(EjecucionHaciendaDiciembre[[#This Row],[NOMBRE_RUBRO]]," - ",EjecucionHaciendaDiciembre[[#This Row],[NOMBRE_RECURSO]])</f>
        <v>Servicios prestados a las empresas y servicios de producción - 1.2.3.2.21-DERECHOS DE TRANSITO</v>
      </c>
      <c r="AH182" s="1"/>
      <c r="AI182" s="1"/>
      <c r="AJ182" s="1"/>
      <c r="AK182" s="1"/>
      <c r="AL182" s="1"/>
      <c r="AM182" s="1"/>
    </row>
    <row r="183" spans="1:39" ht="28.8" x14ac:dyDescent="0.3">
      <c r="A183" s="36" t="s">
        <v>98</v>
      </c>
      <c r="B183" s="36" t="s">
        <v>164</v>
      </c>
      <c r="C183" s="37" t="s">
        <v>222</v>
      </c>
      <c r="D183" s="37" t="s">
        <v>298</v>
      </c>
      <c r="E183" s="37" t="s">
        <v>224</v>
      </c>
      <c r="F183" s="36" t="s">
        <v>378</v>
      </c>
      <c r="G183" s="37" t="s">
        <v>399</v>
      </c>
      <c r="H183" s="36"/>
      <c r="I183" s="38">
        <v>0</v>
      </c>
      <c r="J183" s="38">
        <v>4077793804.3299999</v>
      </c>
      <c r="K183" s="38">
        <v>0</v>
      </c>
      <c r="L183" s="38">
        <v>0</v>
      </c>
      <c r="M183" s="38">
        <v>4077793804.3299999</v>
      </c>
      <c r="N183" s="38">
        <v>0</v>
      </c>
      <c r="O183" s="38">
        <v>0</v>
      </c>
      <c r="P183" s="38">
        <v>0</v>
      </c>
      <c r="Q183" s="38">
        <v>0</v>
      </c>
      <c r="R183" s="38">
        <v>0</v>
      </c>
      <c r="S183" s="38">
        <v>0</v>
      </c>
      <c r="T183" s="38">
        <v>0</v>
      </c>
      <c r="U183" s="39"/>
      <c r="V183" s="84"/>
      <c r="W183" s="17"/>
      <c r="X183" s="17" t="s">
        <v>716</v>
      </c>
      <c r="Y183" s="15"/>
      <c r="Z183" s="17"/>
      <c r="AA183" s="17" t="s">
        <v>716</v>
      </c>
      <c r="AB183" s="81"/>
      <c r="AC183" s="16" t="s">
        <v>716</v>
      </c>
      <c r="AD183" s="16" t="s">
        <v>848</v>
      </c>
      <c r="AE183" s="16" t="s">
        <v>855</v>
      </c>
      <c r="AF183" s="16" t="str">
        <f>_xlfn.CONCAT(EjecucionHaciendaDiciembre[[#This Row],[NOMBRE_RUBRO]]," - ",EjecucionHaciendaDiciembre[[#This Row],[NOMBRE_RECURSO]])</f>
        <v>Servicios prestados a las empresas y servicios de producción - 1.3.3.2.00-R.B RENTAS CEDIDAS</v>
      </c>
      <c r="AH183" s="1"/>
      <c r="AI183" s="1"/>
      <c r="AJ183" s="1"/>
      <c r="AK183" s="1"/>
      <c r="AL183" s="1"/>
      <c r="AM183" s="1"/>
    </row>
    <row r="184" spans="1:39" ht="43.2" x14ac:dyDescent="0.3">
      <c r="A184" s="3" t="s">
        <v>98</v>
      </c>
      <c r="B184" s="3" t="s">
        <v>164</v>
      </c>
      <c r="C184" s="2" t="s">
        <v>222</v>
      </c>
      <c r="D184" s="2" t="s">
        <v>298</v>
      </c>
      <c r="E184" s="2" t="s">
        <v>224</v>
      </c>
      <c r="F184" s="3" t="s">
        <v>378</v>
      </c>
      <c r="G184" s="2" t="s">
        <v>463</v>
      </c>
      <c r="H184" s="3" t="s">
        <v>597</v>
      </c>
      <c r="I184" s="4">
        <v>0</v>
      </c>
      <c r="J184" s="4">
        <v>0</v>
      </c>
      <c r="K184" s="4">
        <v>0</v>
      </c>
      <c r="L184" s="4">
        <v>4077793804.3299999</v>
      </c>
      <c r="M184" s="4">
        <v>0</v>
      </c>
      <c r="N184" s="4">
        <v>4077793804.3299999</v>
      </c>
      <c r="O184" s="4">
        <v>4077793804.3299999</v>
      </c>
      <c r="P184" s="4">
        <v>4077793804.3299999</v>
      </c>
      <c r="Q184" s="4">
        <v>4077793804.3299999</v>
      </c>
      <c r="R184" s="4">
        <v>0</v>
      </c>
      <c r="S184" s="4">
        <v>0</v>
      </c>
      <c r="T184" s="4">
        <v>0</v>
      </c>
      <c r="U184" s="23" t="s">
        <v>731</v>
      </c>
      <c r="V184" s="31">
        <v>190603600</v>
      </c>
      <c r="W184" s="17" t="s">
        <v>725</v>
      </c>
      <c r="X184" s="17" t="s">
        <v>751</v>
      </c>
      <c r="Y184" s="15" t="s">
        <v>781</v>
      </c>
      <c r="Z184" s="17">
        <v>2025</v>
      </c>
      <c r="AA184" s="17" t="s">
        <v>716</v>
      </c>
      <c r="AB184" s="81">
        <v>2025</v>
      </c>
      <c r="AC184" s="16" t="s">
        <v>716</v>
      </c>
      <c r="AD184" s="16" t="s">
        <v>848</v>
      </c>
      <c r="AE184" s="16" t="s">
        <v>855</v>
      </c>
      <c r="AF184" s="16" t="str">
        <f>_xlfn.CONCAT(EjecucionHaciendaDiciembre[[#This Row],[NOMBRE_RUBRO]]," - ",EjecucionHaciendaDiciembre[[#This Row],[NOMBRE_RECURSO]])</f>
        <v>Servicios prestados a las empresas y servicios de producción - 1.3.3.2.00-R.B RENTAS CEDIDAS</v>
      </c>
      <c r="AH184" s="1"/>
      <c r="AI184" s="1"/>
      <c r="AJ184" s="1"/>
      <c r="AK184" s="1"/>
      <c r="AL184" s="1"/>
      <c r="AM184" s="1"/>
    </row>
    <row r="185" spans="1:39" ht="43.2" x14ac:dyDescent="0.3">
      <c r="A185" s="3" t="s">
        <v>99</v>
      </c>
      <c r="B185" s="3" t="s">
        <v>165</v>
      </c>
      <c r="C185" s="2" t="s">
        <v>215</v>
      </c>
      <c r="D185" s="2" t="s">
        <v>291</v>
      </c>
      <c r="E185" s="2" t="s">
        <v>215</v>
      </c>
      <c r="F185" s="3" t="s">
        <v>377</v>
      </c>
      <c r="G185" s="2" t="s">
        <v>464</v>
      </c>
      <c r="H185" s="3" t="s">
        <v>712</v>
      </c>
      <c r="I185" s="4">
        <v>0</v>
      </c>
      <c r="J185" s="4">
        <v>0</v>
      </c>
      <c r="K185" s="4">
        <v>0</v>
      </c>
      <c r="L185" s="4">
        <v>35463762.609999999</v>
      </c>
      <c r="M185" s="4">
        <v>0</v>
      </c>
      <c r="N185" s="4">
        <v>35463762.609999999</v>
      </c>
      <c r="O185" s="4">
        <v>35463762.609999999</v>
      </c>
      <c r="P185" s="4">
        <v>35463762.609999999</v>
      </c>
      <c r="Q185" s="4">
        <v>35463762.609999999</v>
      </c>
      <c r="R185" s="4">
        <v>35463762.609999999</v>
      </c>
      <c r="S185" s="4">
        <v>35463762.609999999</v>
      </c>
      <c r="T185" s="4">
        <v>0</v>
      </c>
      <c r="U185" s="23" t="s">
        <v>727</v>
      </c>
      <c r="V185" s="24">
        <v>459902900</v>
      </c>
      <c r="W185" s="17"/>
      <c r="X185" s="17" t="s">
        <v>748</v>
      </c>
      <c r="Y185" s="15" t="s">
        <v>779</v>
      </c>
      <c r="Z185" s="75">
        <v>2024</v>
      </c>
      <c r="AA185" s="17" t="s">
        <v>716</v>
      </c>
      <c r="AB185" s="81">
        <v>2024</v>
      </c>
      <c r="AC185" s="16" t="s">
        <v>716</v>
      </c>
      <c r="AD185" s="16" t="s">
        <v>849</v>
      </c>
      <c r="AE185" s="16" t="s">
        <v>855</v>
      </c>
      <c r="AF185" s="16" t="str">
        <f>_xlfn.CONCAT(EjecucionHaciendaDiciembre[[#This Row],[NOMBRE_RUBRO]]," - ",EjecucionHaciendaDiciembre[[#This Row],[NOMBRE_RECURSO]])</f>
        <v>Servicios para la comunidad, sociales y personales - 1.2.1.0.00 - INGRESOS CORRIENTES DE LIBRE DESTINACION</v>
      </c>
      <c r="AH185" s="1"/>
      <c r="AI185" s="1"/>
      <c r="AJ185" s="1"/>
      <c r="AK185" s="1"/>
      <c r="AL185" s="1"/>
      <c r="AM185" s="1"/>
    </row>
    <row r="186" spans="1:39" ht="43.2" x14ac:dyDescent="0.3">
      <c r="A186" s="32" t="s">
        <v>99</v>
      </c>
      <c r="B186" s="32" t="s">
        <v>165</v>
      </c>
      <c r="C186" s="33" t="s">
        <v>215</v>
      </c>
      <c r="D186" s="33" t="s">
        <v>291</v>
      </c>
      <c r="E186" s="33" t="s">
        <v>372</v>
      </c>
      <c r="F186" s="32" t="s">
        <v>387</v>
      </c>
      <c r="G186" s="33" t="s">
        <v>399</v>
      </c>
      <c r="H186" s="32"/>
      <c r="I186" s="34">
        <v>445401972.35000002</v>
      </c>
      <c r="J186" s="34">
        <v>0</v>
      </c>
      <c r="K186" s="34">
        <v>0</v>
      </c>
      <c r="L186" s="34">
        <v>0</v>
      </c>
      <c r="M186" s="34">
        <v>334983082.05000001</v>
      </c>
      <c r="N186" s="34">
        <v>110418890.3</v>
      </c>
      <c r="O186" s="34">
        <v>0</v>
      </c>
      <c r="P186" s="34">
        <v>0</v>
      </c>
      <c r="Q186" s="34">
        <v>0</v>
      </c>
      <c r="R186" s="34">
        <v>0</v>
      </c>
      <c r="S186" s="34">
        <v>0</v>
      </c>
      <c r="T186" s="34">
        <v>110418890.3</v>
      </c>
      <c r="U186" s="35"/>
      <c r="V186" s="85"/>
      <c r="W186" s="17"/>
      <c r="X186" s="17" t="s">
        <v>716</v>
      </c>
      <c r="Y186" s="15"/>
      <c r="Z186" s="17"/>
      <c r="AA186" s="17" t="s">
        <v>716</v>
      </c>
      <c r="AB186" s="81"/>
      <c r="AC186" s="16" t="s">
        <v>716</v>
      </c>
      <c r="AD186" s="16" t="s">
        <v>849</v>
      </c>
      <c r="AE186" s="16" t="s">
        <v>855</v>
      </c>
      <c r="AF186" s="16" t="str">
        <f>_xlfn.CONCAT(EjecucionHaciendaDiciembre[[#This Row],[NOMBRE_RUBRO]]," - ",EjecucionHaciendaDiciembre[[#This Row],[NOMBRE_RECURSO]])</f>
        <v>Servicios para la comunidad, sociales y personales - 1.2.1.0.00 - INGRESOS CORRIENTES DE LIBRE DESTINACION</v>
      </c>
      <c r="AH186" s="1"/>
      <c r="AI186" s="1"/>
      <c r="AJ186" s="1"/>
      <c r="AK186" s="1"/>
      <c r="AL186" s="1"/>
      <c r="AM186" s="1"/>
    </row>
    <row r="187" spans="1:39" ht="57.6" x14ac:dyDescent="0.3">
      <c r="A187" s="25" t="s">
        <v>99</v>
      </c>
      <c r="B187" s="25" t="s">
        <v>165</v>
      </c>
      <c r="C187" s="26" t="s">
        <v>215</v>
      </c>
      <c r="D187" s="26" t="s">
        <v>291</v>
      </c>
      <c r="E187" s="26" t="s">
        <v>372</v>
      </c>
      <c r="F187" s="25" t="s">
        <v>387</v>
      </c>
      <c r="G187" s="26" t="s">
        <v>465</v>
      </c>
      <c r="H187" s="25" t="s">
        <v>609</v>
      </c>
      <c r="I187" s="27">
        <v>78000000</v>
      </c>
      <c r="J187" s="27">
        <v>0</v>
      </c>
      <c r="K187" s="27">
        <v>0</v>
      </c>
      <c r="L187" s="27">
        <v>0</v>
      </c>
      <c r="M187" s="27">
        <v>0</v>
      </c>
      <c r="N187" s="27">
        <v>78000000</v>
      </c>
      <c r="O187" s="27">
        <v>0</v>
      </c>
      <c r="P187" s="27">
        <v>0</v>
      </c>
      <c r="Q187" s="27">
        <v>0</v>
      </c>
      <c r="R187" s="27">
        <v>0</v>
      </c>
      <c r="S187" s="27">
        <v>0</v>
      </c>
      <c r="T187" s="27">
        <v>78000000</v>
      </c>
      <c r="U187" s="28" t="s">
        <v>732</v>
      </c>
      <c r="V187" s="29">
        <v>170202100</v>
      </c>
      <c r="W187" s="17" t="s">
        <v>724</v>
      </c>
      <c r="X187" s="17" t="s">
        <v>748</v>
      </c>
      <c r="Y187" s="15" t="s">
        <v>781</v>
      </c>
      <c r="Z187" s="17">
        <v>2025</v>
      </c>
      <c r="AA187" s="17" t="s">
        <v>716</v>
      </c>
      <c r="AB187" s="81">
        <v>2025</v>
      </c>
      <c r="AC187" s="16" t="s">
        <v>716</v>
      </c>
      <c r="AD187" s="16" t="s">
        <v>849</v>
      </c>
      <c r="AE187" s="16" t="s">
        <v>716</v>
      </c>
      <c r="AF187" s="16" t="str">
        <f>_xlfn.CONCAT(EjecucionHaciendaDiciembre[[#This Row],[NOMBRE_RUBRO]]," - ",EjecucionHaciendaDiciembre[[#This Row],[NOMBRE_RECURSO]])</f>
        <v>Servicios para la comunidad, sociales y personales - 1.2.1.0.00 - INGRESOS CORRIENTES DE LIBRE DESTINACION</v>
      </c>
      <c r="AH187" s="1"/>
      <c r="AI187" s="1"/>
      <c r="AJ187" s="1"/>
      <c r="AK187" s="1"/>
      <c r="AL187" s="1"/>
      <c r="AM187" s="1"/>
    </row>
    <row r="188" spans="1:39" ht="57.6" x14ac:dyDescent="0.3">
      <c r="A188" s="36" t="s">
        <v>99</v>
      </c>
      <c r="B188" s="36" t="s">
        <v>165</v>
      </c>
      <c r="C188" s="37" t="s">
        <v>215</v>
      </c>
      <c r="D188" s="37" t="s">
        <v>291</v>
      </c>
      <c r="E188" s="37" t="s">
        <v>372</v>
      </c>
      <c r="F188" s="36" t="s">
        <v>387</v>
      </c>
      <c r="G188" s="37" t="s">
        <v>466</v>
      </c>
      <c r="H188" s="36" t="s">
        <v>610</v>
      </c>
      <c r="I188" s="38">
        <v>511864230</v>
      </c>
      <c r="J188" s="38">
        <v>0</v>
      </c>
      <c r="K188" s="38">
        <v>0</v>
      </c>
      <c r="L188" s="38">
        <v>0</v>
      </c>
      <c r="M188" s="38">
        <v>511864230</v>
      </c>
      <c r="N188" s="38">
        <v>0</v>
      </c>
      <c r="O188" s="38">
        <v>0</v>
      </c>
      <c r="P188" s="38">
        <v>0</v>
      </c>
      <c r="Q188" s="38">
        <v>0</v>
      </c>
      <c r="R188" s="38">
        <v>0</v>
      </c>
      <c r="S188" s="38">
        <v>0</v>
      </c>
      <c r="T188" s="38">
        <v>0</v>
      </c>
      <c r="U188" s="39"/>
      <c r="V188" s="84"/>
      <c r="W188" s="17"/>
      <c r="X188" s="17" t="s">
        <v>716</v>
      </c>
      <c r="Y188" s="15"/>
      <c r="Z188" s="17"/>
      <c r="AA188" s="17" t="s">
        <v>716</v>
      </c>
      <c r="AB188" s="81"/>
      <c r="AC188" s="16" t="s">
        <v>716</v>
      </c>
      <c r="AD188" s="16" t="s">
        <v>849</v>
      </c>
      <c r="AE188" s="16" t="s">
        <v>716</v>
      </c>
      <c r="AF188" s="16" t="str">
        <f>_xlfn.CONCAT(EjecucionHaciendaDiciembre[[#This Row],[NOMBRE_RUBRO]]," - ",EjecucionHaciendaDiciembre[[#This Row],[NOMBRE_RECURSO]])</f>
        <v>Servicios para la comunidad, sociales y personales - 1.2.1.0.00 - INGRESOS CORRIENTES DE LIBRE DESTINACION</v>
      </c>
      <c r="AH188" s="1"/>
      <c r="AI188" s="1"/>
      <c r="AJ188" s="1"/>
      <c r="AK188" s="1"/>
      <c r="AL188" s="1"/>
      <c r="AM188" s="1"/>
    </row>
    <row r="189" spans="1:39" ht="43.2" x14ac:dyDescent="0.3">
      <c r="A189" s="36" t="s">
        <v>99</v>
      </c>
      <c r="B189" s="36" t="s">
        <v>165</v>
      </c>
      <c r="C189" s="37" t="s">
        <v>215</v>
      </c>
      <c r="D189" s="37" t="s">
        <v>291</v>
      </c>
      <c r="E189" s="37" t="s">
        <v>372</v>
      </c>
      <c r="F189" s="36" t="s">
        <v>387</v>
      </c>
      <c r="G189" s="37" t="s">
        <v>467</v>
      </c>
      <c r="H189" s="36" t="s">
        <v>611</v>
      </c>
      <c r="I189" s="38">
        <v>78500000</v>
      </c>
      <c r="J189" s="38">
        <v>0</v>
      </c>
      <c r="K189" s="38">
        <v>0</v>
      </c>
      <c r="L189" s="38">
        <v>0</v>
      </c>
      <c r="M189" s="38">
        <v>78500000</v>
      </c>
      <c r="N189" s="38">
        <v>0</v>
      </c>
      <c r="O189" s="38">
        <v>0</v>
      </c>
      <c r="P189" s="38">
        <v>0</v>
      </c>
      <c r="Q189" s="38">
        <v>0</v>
      </c>
      <c r="R189" s="38">
        <v>0</v>
      </c>
      <c r="S189" s="38">
        <v>0</v>
      </c>
      <c r="T189" s="38">
        <v>0</v>
      </c>
      <c r="U189" s="39"/>
      <c r="V189" s="84"/>
      <c r="W189" s="17"/>
      <c r="X189" s="17" t="s">
        <v>716</v>
      </c>
      <c r="Y189" s="15"/>
      <c r="Z189" s="17"/>
      <c r="AA189" s="17" t="s">
        <v>716</v>
      </c>
      <c r="AB189" s="81"/>
      <c r="AC189" s="16" t="s">
        <v>716</v>
      </c>
      <c r="AD189" s="16" t="s">
        <v>849</v>
      </c>
      <c r="AE189" s="16" t="s">
        <v>716</v>
      </c>
      <c r="AF189" s="16" t="str">
        <f>_xlfn.CONCAT(EjecucionHaciendaDiciembre[[#This Row],[NOMBRE_RUBRO]]," - ",EjecucionHaciendaDiciembre[[#This Row],[NOMBRE_RECURSO]])</f>
        <v>Servicios para la comunidad, sociales y personales - 1.2.1.0.00 - INGRESOS CORRIENTES DE LIBRE DESTINACION</v>
      </c>
      <c r="AH189" s="1"/>
      <c r="AI189" s="1"/>
      <c r="AJ189" s="1"/>
      <c r="AK189" s="1"/>
      <c r="AL189" s="1"/>
      <c r="AM189" s="1"/>
    </row>
    <row r="190" spans="1:39" ht="43.2" x14ac:dyDescent="0.3">
      <c r="A190" s="3" t="s">
        <v>99</v>
      </c>
      <c r="B190" s="3" t="s">
        <v>165</v>
      </c>
      <c r="C190" s="2" t="s">
        <v>215</v>
      </c>
      <c r="D190" s="2" t="s">
        <v>291</v>
      </c>
      <c r="E190" s="2" t="s">
        <v>372</v>
      </c>
      <c r="F190" s="3" t="s">
        <v>387</v>
      </c>
      <c r="G190" s="2" t="s">
        <v>468</v>
      </c>
      <c r="H190" s="3" t="s">
        <v>612</v>
      </c>
      <c r="I190" s="4">
        <v>345105000</v>
      </c>
      <c r="J190" s="4">
        <v>0</v>
      </c>
      <c r="K190" s="4">
        <v>0</v>
      </c>
      <c r="L190" s="4">
        <v>0</v>
      </c>
      <c r="M190" s="4">
        <v>0</v>
      </c>
      <c r="N190" s="4">
        <v>345105000</v>
      </c>
      <c r="O190" s="4">
        <v>345105000</v>
      </c>
      <c r="P190" s="4">
        <v>345105000</v>
      </c>
      <c r="Q190" s="4">
        <v>345105000</v>
      </c>
      <c r="R190" s="4">
        <v>345075000</v>
      </c>
      <c r="S190" s="4">
        <v>345075000</v>
      </c>
      <c r="T190" s="4">
        <v>0</v>
      </c>
      <c r="U190" s="23" t="s">
        <v>733</v>
      </c>
      <c r="V190" s="31">
        <v>350200600</v>
      </c>
      <c r="W190" s="17" t="s">
        <v>789</v>
      </c>
      <c r="X190" s="17" t="s">
        <v>748</v>
      </c>
      <c r="Y190" s="15" t="s">
        <v>779</v>
      </c>
      <c r="Z190" s="17">
        <v>2024</v>
      </c>
      <c r="AA190" s="17" t="s">
        <v>716</v>
      </c>
      <c r="AB190" s="81">
        <v>2024</v>
      </c>
      <c r="AC190" s="16" t="s">
        <v>716</v>
      </c>
      <c r="AD190" s="16" t="s">
        <v>849</v>
      </c>
      <c r="AE190" s="16" t="s">
        <v>855</v>
      </c>
      <c r="AF190" s="16" t="str">
        <f>_xlfn.CONCAT(EjecucionHaciendaDiciembre[[#This Row],[NOMBRE_RUBRO]]," - ",EjecucionHaciendaDiciembre[[#This Row],[NOMBRE_RECURSO]])</f>
        <v>Servicios para la comunidad, sociales y personales - 1.2.1.0.00 - INGRESOS CORRIENTES DE LIBRE DESTINACION</v>
      </c>
      <c r="AH190" s="1"/>
      <c r="AI190" s="1"/>
      <c r="AJ190" s="1"/>
      <c r="AK190" s="1"/>
      <c r="AL190" s="1"/>
      <c r="AM190" s="1"/>
    </row>
    <row r="191" spans="1:39" ht="43.2" x14ac:dyDescent="0.3">
      <c r="A191" s="3" t="s">
        <v>99</v>
      </c>
      <c r="B191" s="3" t="s">
        <v>165</v>
      </c>
      <c r="C191" s="2" t="s">
        <v>215</v>
      </c>
      <c r="D191" s="2" t="s">
        <v>291</v>
      </c>
      <c r="E191" s="2" t="s">
        <v>372</v>
      </c>
      <c r="F191" s="3" t="s">
        <v>387</v>
      </c>
      <c r="G191" s="2" t="s">
        <v>469</v>
      </c>
      <c r="H191" s="3" t="s">
        <v>613</v>
      </c>
      <c r="I191" s="4">
        <v>84537600</v>
      </c>
      <c r="J191" s="4">
        <v>0</v>
      </c>
      <c r="K191" s="4">
        <v>0</v>
      </c>
      <c r="L191" s="4">
        <v>0</v>
      </c>
      <c r="M191" s="4">
        <v>0</v>
      </c>
      <c r="N191" s="4">
        <v>84537600</v>
      </c>
      <c r="O191" s="4">
        <v>84537600</v>
      </c>
      <c r="P191" s="4">
        <v>84537600</v>
      </c>
      <c r="Q191" s="4">
        <v>84537600</v>
      </c>
      <c r="R191" s="4">
        <v>84537600</v>
      </c>
      <c r="S191" s="4">
        <v>84537600</v>
      </c>
      <c r="T191" s="4">
        <v>0</v>
      </c>
      <c r="U191" s="23" t="s">
        <v>734</v>
      </c>
      <c r="V191" s="31">
        <v>350202200</v>
      </c>
      <c r="W191" s="17" t="s">
        <v>828</v>
      </c>
      <c r="X191" s="17" t="s">
        <v>748</v>
      </c>
      <c r="Y191" s="15" t="s">
        <v>779</v>
      </c>
      <c r="Z191" s="17">
        <v>2024</v>
      </c>
      <c r="AA191" s="17" t="s">
        <v>716</v>
      </c>
      <c r="AB191" s="81">
        <v>2024</v>
      </c>
      <c r="AC191" s="16" t="s">
        <v>716</v>
      </c>
      <c r="AD191" s="16" t="s">
        <v>849</v>
      </c>
      <c r="AE191" s="16" t="s">
        <v>856</v>
      </c>
      <c r="AF191" s="16" t="str">
        <f>_xlfn.CONCAT(EjecucionHaciendaDiciembre[[#This Row],[NOMBRE_RUBRO]]," - ",EjecucionHaciendaDiciembre[[#This Row],[NOMBRE_RECURSO]])</f>
        <v>Servicios para la comunidad, sociales y personales - 1.2.1.0.00 - INGRESOS CORRIENTES DE LIBRE DESTINACION</v>
      </c>
      <c r="AH191" s="1"/>
      <c r="AI191" s="1"/>
      <c r="AJ191" s="1"/>
      <c r="AK191" s="1"/>
      <c r="AL191" s="1"/>
      <c r="AM191" s="1"/>
    </row>
    <row r="192" spans="1:39" ht="43.2" x14ac:dyDescent="0.3">
      <c r="A192" s="3" t="s">
        <v>99</v>
      </c>
      <c r="B192" s="3" t="s">
        <v>165</v>
      </c>
      <c r="C192" s="2" t="s">
        <v>215</v>
      </c>
      <c r="D192" s="2" t="s">
        <v>291</v>
      </c>
      <c r="E192" s="2" t="s">
        <v>372</v>
      </c>
      <c r="F192" s="3" t="s">
        <v>387</v>
      </c>
      <c r="G192" s="2" t="s">
        <v>470</v>
      </c>
      <c r="H192" s="3" t="s">
        <v>614</v>
      </c>
      <c r="I192" s="4">
        <v>99849574.650000006</v>
      </c>
      <c r="J192" s="4">
        <v>0</v>
      </c>
      <c r="K192" s="4">
        <v>0</v>
      </c>
      <c r="L192" s="4">
        <v>0</v>
      </c>
      <c r="M192" s="4">
        <v>0</v>
      </c>
      <c r="N192" s="4">
        <v>99849574.650000006</v>
      </c>
      <c r="O192" s="4">
        <v>99849574.650000006</v>
      </c>
      <c r="P192" s="4">
        <v>99849574.650000006</v>
      </c>
      <c r="Q192" s="4">
        <v>99849574.650000006</v>
      </c>
      <c r="R192" s="4">
        <v>99706438.459999993</v>
      </c>
      <c r="S192" s="4">
        <v>99706438.459999993</v>
      </c>
      <c r="T192" s="4">
        <v>0</v>
      </c>
      <c r="U192" s="23" t="s">
        <v>605</v>
      </c>
      <c r="V192" s="31">
        <v>350204600</v>
      </c>
      <c r="W192" s="17" t="s">
        <v>789</v>
      </c>
      <c r="X192" s="17" t="s">
        <v>748</v>
      </c>
      <c r="Y192" s="15" t="s">
        <v>779</v>
      </c>
      <c r="Z192" s="17">
        <v>2024</v>
      </c>
      <c r="AA192" s="17" t="s">
        <v>716</v>
      </c>
      <c r="AB192" s="81">
        <v>2024</v>
      </c>
      <c r="AC192" s="16" t="s">
        <v>716</v>
      </c>
      <c r="AD192" s="16" t="s">
        <v>849</v>
      </c>
      <c r="AE192" s="16" t="s">
        <v>855</v>
      </c>
      <c r="AF192" s="16" t="str">
        <f>_xlfn.CONCAT(EjecucionHaciendaDiciembre[[#This Row],[NOMBRE_RUBRO]]," - ",EjecucionHaciendaDiciembre[[#This Row],[NOMBRE_RECURSO]])</f>
        <v>Servicios para la comunidad, sociales y personales - 1.2.1.0.00 - INGRESOS CORRIENTES DE LIBRE DESTINACION</v>
      </c>
      <c r="AH192" s="1"/>
      <c r="AI192" s="1"/>
      <c r="AJ192" s="1"/>
      <c r="AK192" s="1"/>
      <c r="AL192" s="1"/>
      <c r="AM192" s="1"/>
    </row>
    <row r="193" spans="1:39" ht="43.2" x14ac:dyDescent="0.3">
      <c r="A193" s="3" t="s">
        <v>99</v>
      </c>
      <c r="B193" s="3" t="s">
        <v>165</v>
      </c>
      <c r="C193" s="2" t="s">
        <v>215</v>
      </c>
      <c r="D193" s="2" t="s">
        <v>291</v>
      </c>
      <c r="E193" s="2" t="s">
        <v>372</v>
      </c>
      <c r="F193" s="3" t="s">
        <v>387</v>
      </c>
      <c r="G193" s="2" t="s">
        <v>471</v>
      </c>
      <c r="H193" s="3" t="s">
        <v>615</v>
      </c>
      <c r="I193" s="4">
        <v>80000000</v>
      </c>
      <c r="J193" s="4">
        <v>0</v>
      </c>
      <c r="K193" s="4">
        <v>0</v>
      </c>
      <c r="L193" s="4">
        <v>0</v>
      </c>
      <c r="M193" s="4">
        <v>0</v>
      </c>
      <c r="N193" s="4">
        <v>80000000</v>
      </c>
      <c r="O193" s="4">
        <v>80000000</v>
      </c>
      <c r="P193" s="4">
        <v>80000000</v>
      </c>
      <c r="Q193" s="4">
        <v>80000000</v>
      </c>
      <c r="R193" s="4">
        <v>80000000</v>
      </c>
      <c r="S193" s="4">
        <v>80000000</v>
      </c>
      <c r="T193" s="4">
        <v>0</v>
      </c>
      <c r="U193" s="23" t="s">
        <v>736</v>
      </c>
      <c r="V193" s="31">
        <v>360203200</v>
      </c>
      <c r="W193" s="17" t="s">
        <v>789</v>
      </c>
      <c r="X193" s="17" t="s">
        <v>748</v>
      </c>
      <c r="Y193" s="15" t="s">
        <v>779</v>
      </c>
      <c r="Z193" s="17">
        <v>2024</v>
      </c>
      <c r="AA193" s="17" t="s">
        <v>716</v>
      </c>
      <c r="AB193" s="81">
        <v>2024</v>
      </c>
      <c r="AC193" s="16" t="s">
        <v>716</v>
      </c>
      <c r="AD193" s="16" t="s">
        <v>849</v>
      </c>
      <c r="AE193" s="16" t="s">
        <v>855</v>
      </c>
      <c r="AF193" s="16" t="str">
        <f>_xlfn.CONCAT(EjecucionHaciendaDiciembre[[#This Row],[NOMBRE_RUBRO]]," - ",EjecucionHaciendaDiciembre[[#This Row],[NOMBRE_RECURSO]])</f>
        <v>Servicios para la comunidad, sociales y personales - 1.2.1.0.00 - INGRESOS CORRIENTES DE LIBRE DESTINACION</v>
      </c>
      <c r="AH193" s="1"/>
      <c r="AI193" s="1"/>
      <c r="AJ193" s="1"/>
      <c r="AK193" s="1"/>
      <c r="AL193" s="1"/>
      <c r="AM193" s="1"/>
    </row>
    <row r="194" spans="1:39" ht="72" x14ac:dyDescent="0.3">
      <c r="A194" s="3" t="s">
        <v>99</v>
      </c>
      <c r="B194" s="3" t="s">
        <v>165</v>
      </c>
      <c r="C194" s="2" t="s">
        <v>215</v>
      </c>
      <c r="D194" s="2" t="s">
        <v>291</v>
      </c>
      <c r="E194" s="2" t="s">
        <v>372</v>
      </c>
      <c r="F194" s="3" t="s">
        <v>387</v>
      </c>
      <c r="G194" s="2" t="s">
        <v>472</v>
      </c>
      <c r="H194" s="3" t="s">
        <v>616</v>
      </c>
      <c r="I194" s="4">
        <v>99989456</v>
      </c>
      <c r="J194" s="4">
        <v>0</v>
      </c>
      <c r="K194" s="4">
        <v>0</v>
      </c>
      <c r="L194" s="4">
        <v>0</v>
      </c>
      <c r="M194" s="4">
        <v>0</v>
      </c>
      <c r="N194" s="4">
        <v>99989456</v>
      </c>
      <c r="O194" s="4">
        <v>99989456</v>
      </c>
      <c r="P194" s="4">
        <v>99989456</v>
      </c>
      <c r="Q194" s="4">
        <v>99989456</v>
      </c>
      <c r="R194" s="4">
        <v>99989456</v>
      </c>
      <c r="S194" s="4">
        <v>99989456</v>
      </c>
      <c r="T194" s="4">
        <v>0</v>
      </c>
      <c r="U194" s="23" t="s">
        <v>736</v>
      </c>
      <c r="V194" s="31">
        <v>360203200</v>
      </c>
      <c r="W194" s="17" t="s">
        <v>789</v>
      </c>
      <c r="X194" s="17" t="s">
        <v>748</v>
      </c>
      <c r="Y194" s="15" t="s">
        <v>779</v>
      </c>
      <c r="Z194" s="17">
        <v>2024</v>
      </c>
      <c r="AA194" s="17" t="s">
        <v>716</v>
      </c>
      <c r="AB194" s="81">
        <v>2024</v>
      </c>
      <c r="AC194" s="16" t="s">
        <v>716</v>
      </c>
      <c r="AD194" s="16" t="s">
        <v>849</v>
      </c>
      <c r="AE194" s="16" t="s">
        <v>855</v>
      </c>
      <c r="AF194" s="16" t="str">
        <f>_xlfn.CONCAT(EjecucionHaciendaDiciembre[[#This Row],[NOMBRE_RUBRO]]," - ",EjecucionHaciendaDiciembre[[#This Row],[NOMBRE_RECURSO]])</f>
        <v>Servicios para la comunidad, sociales y personales - 1.2.1.0.00 - INGRESOS CORRIENTES DE LIBRE DESTINACION</v>
      </c>
      <c r="AH194" s="1"/>
      <c r="AI194" s="1"/>
      <c r="AJ194" s="1"/>
      <c r="AK194" s="1"/>
      <c r="AL194" s="1"/>
      <c r="AM194" s="1"/>
    </row>
    <row r="195" spans="1:39" ht="57.6" x14ac:dyDescent="0.3">
      <c r="A195" s="3" t="s">
        <v>99</v>
      </c>
      <c r="B195" s="3" t="s">
        <v>165</v>
      </c>
      <c r="C195" s="2" t="s">
        <v>215</v>
      </c>
      <c r="D195" s="2" t="s">
        <v>291</v>
      </c>
      <c r="E195" s="2" t="s">
        <v>372</v>
      </c>
      <c r="F195" s="3" t="s">
        <v>387</v>
      </c>
      <c r="G195" s="2" t="s">
        <v>473</v>
      </c>
      <c r="H195" s="3" t="s">
        <v>617</v>
      </c>
      <c r="I195" s="4">
        <v>0</v>
      </c>
      <c r="J195" s="4">
        <v>0</v>
      </c>
      <c r="K195" s="4">
        <v>0</v>
      </c>
      <c r="L195" s="4">
        <v>184507259</v>
      </c>
      <c r="M195" s="4">
        <v>0</v>
      </c>
      <c r="N195" s="4">
        <v>184507259</v>
      </c>
      <c r="O195" s="4">
        <v>184507259</v>
      </c>
      <c r="P195" s="4">
        <v>184507259</v>
      </c>
      <c r="Q195" s="4">
        <v>184507259</v>
      </c>
      <c r="R195" s="4">
        <v>184507259</v>
      </c>
      <c r="S195" s="4">
        <v>184507259</v>
      </c>
      <c r="T195" s="4">
        <v>0</v>
      </c>
      <c r="U195" s="23" t="s">
        <v>735</v>
      </c>
      <c r="V195" s="31">
        <v>350201000</v>
      </c>
      <c r="W195" s="17" t="s">
        <v>789</v>
      </c>
      <c r="X195" s="17" t="s">
        <v>748</v>
      </c>
      <c r="Y195" s="15" t="s">
        <v>779</v>
      </c>
      <c r="Z195" s="17">
        <v>2024</v>
      </c>
      <c r="AA195" s="17" t="s">
        <v>716</v>
      </c>
      <c r="AB195" s="81">
        <v>2024</v>
      </c>
      <c r="AC195" s="16" t="s">
        <v>716</v>
      </c>
      <c r="AD195" s="16" t="s">
        <v>849</v>
      </c>
      <c r="AE195" s="16" t="s">
        <v>875</v>
      </c>
      <c r="AF195" s="16" t="str">
        <f>_xlfn.CONCAT(EjecucionHaciendaDiciembre[[#This Row],[NOMBRE_RUBRO]]," - ",EjecucionHaciendaDiciembre[[#This Row],[NOMBRE_RECURSO]])</f>
        <v>Servicios para la comunidad, sociales y personales - 1.2.1.0.00 - INGRESOS CORRIENTES DE LIBRE DESTINACION</v>
      </c>
      <c r="AH195" s="1"/>
      <c r="AI195" s="1"/>
      <c r="AJ195" s="1"/>
      <c r="AK195" s="1"/>
      <c r="AL195" s="1"/>
      <c r="AM195" s="1"/>
    </row>
    <row r="196" spans="1:39" ht="72" x14ac:dyDescent="0.3">
      <c r="A196" s="3" t="s">
        <v>99</v>
      </c>
      <c r="B196" s="3" t="s">
        <v>165</v>
      </c>
      <c r="C196" s="2" t="s">
        <v>215</v>
      </c>
      <c r="D196" s="2" t="s">
        <v>291</v>
      </c>
      <c r="E196" s="2" t="s">
        <v>372</v>
      </c>
      <c r="F196" s="3" t="s">
        <v>387</v>
      </c>
      <c r="G196" s="2" t="s">
        <v>474</v>
      </c>
      <c r="H196" s="3" t="s">
        <v>618</v>
      </c>
      <c r="I196" s="4">
        <v>0</v>
      </c>
      <c r="J196" s="4">
        <v>0</v>
      </c>
      <c r="K196" s="4">
        <v>0</v>
      </c>
      <c r="L196" s="4">
        <v>149998800</v>
      </c>
      <c r="M196" s="4">
        <v>0</v>
      </c>
      <c r="N196" s="4">
        <v>149998800</v>
      </c>
      <c r="O196" s="4">
        <v>149998800</v>
      </c>
      <c r="P196" s="4">
        <v>149998800</v>
      </c>
      <c r="Q196" s="4">
        <v>149998800</v>
      </c>
      <c r="R196" s="4">
        <v>149998800</v>
      </c>
      <c r="S196" s="4">
        <v>149998800</v>
      </c>
      <c r="T196" s="4">
        <v>0</v>
      </c>
      <c r="U196" s="23" t="s">
        <v>736</v>
      </c>
      <c r="V196" s="31">
        <v>360203200</v>
      </c>
      <c r="W196" s="17" t="s">
        <v>789</v>
      </c>
      <c r="X196" s="17" t="s">
        <v>748</v>
      </c>
      <c r="Y196" s="15" t="s">
        <v>779</v>
      </c>
      <c r="Z196" s="17">
        <v>2024</v>
      </c>
      <c r="AA196" s="17" t="s">
        <v>716</v>
      </c>
      <c r="AB196" s="81">
        <v>2024</v>
      </c>
      <c r="AC196" s="16" t="s">
        <v>716</v>
      </c>
      <c r="AD196" s="16" t="s">
        <v>849</v>
      </c>
      <c r="AE196" s="16" t="s">
        <v>855</v>
      </c>
      <c r="AF196" s="16" t="str">
        <f>_xlfn.CONCAT(EjecucionHaciendaDiciembre[[#This Row],[NOMBRE_RUBRO]]," - ",EjecucionHaciendaDiciembre[[#This Row],[NOMBRE_RECURSO]])</f>
        <v>Servicios para la comunidad, sociales y personales - 1.2.1.0.00 - INGRESOS CORRIENTES DE LIBRE DESTINACION</v>
      </c>
      <c r="AH196" s="1"/>
      <c r="AI196" s="1"/>
      <c r="AJ196" s="1"/>
      <c r="AK196" s="1"/>
      <c r="AL196" s="1"/>
      <c r="AM196" s="1"/>
    </row>
    <row r="197" spans="1:39" ht="57.6" x14ac:dyDescent="0.3">
      <c r="A197" s="3" t="s">
        <v>99</v>
      </c>
      <c r="B197" s="3" t="s">
        <v>165</v>
      </c>
      <c r="C197" s="2" t="s">
        <v>215</v>
      </c>
      <c r="D197" s="2" t="s">
        <v>291</v>
      </c>
      <c r="E197" s="2" t="s">
        <v>372</v>
      </c>
      <c r="F197" s="3" t="s">
        <v>387</v>
      </c>
      <c r="G197" s="2" t="s">
        <v>475</v>
      </c>
      <c r="H197" s="3" t="s">
        <v>619</v>
      </c>
      <c r="I197" s="4">
        <v>0</v>
      </c>
      <c r="J197" s="4">
        <v>0</v>
      </c>
      <c r="K197" s="4">
        <v>0</v>
      </c>
      <c r="L197" s="4">
        <v>511864230</v>
      </c>
      <c r="M197" s="4">
        <v>0</v>
      </c>
      <c r="N197" s="4">
        <v>511864230</v>
      </c>
      <c r="O197" s="4">
        <v>511864230</v>
      </c>
      <c r="P197" s="4">
        <v>511864230</v>
      </c>
      <c r="Q197" s="4">
        <v>511864230</v>
      </c>
      <c r="R197" s="4">
        <v>127966057.5</v>
      </c>
      <c r="S197" s="4">
        <v>0</v>
      </c>
      <c r="T197" s="4">
        <v>0</v>
      </c>
      <c r="U197" s="23" t="s">
        <v>603</v>
      </c>
      <c r="V197" s="31">
        <v>170200900</v>
      </c>
      <c r="W197" s="17" t="s">
        <v>822</v>
      </c>
      <c r="X197" s="17" t="s">
        <v>749</v>
      </c>
      <c r="Y197" s="15" t="s">
        <v>781</v>
      </c>
      <c r="Z197" s="17">
        <v>2025</v>
      </c>
      <c r="AA197" s="17" t="s">
        <v>716</v>
      </c>
      <c r="AB197" s="81">
        <v>2025</v>
      </c>
      <c r="AC197" s="16" t="s">
        <v>716</v>
      </c>
      <c r="AD197" s="16" t="s">
        <v>849</v>
      </c>
      <c r="AE197" s="16" t="s">
        <v>867</v>
      </c>
      <c r="AF197" s="16" t="str">
        <f>_xlfn.CONCAT(EjecucionHaciendaDiciembre[[#This Row],[NOMBRE_RUBRO]]," - ",EjecucionHaciendaDiciembre[[#This Row],[NOMBRE_RECURSO]])</f>
        <v>Servicios para la comunidad, sociales y personales - 1.2.1.0.00 - INGRESOS CORRIENTES DE LIBRE DESTINACION</v>
      </c>
      <c r="AH197" s="1"/>
      <c r="AI197" s="1"/>
      <c r="AJ197" s="1"/>
      <c r="AK197" s="1"/>
      <c r="AL197" s="1"/>
      <c r="AM197" s="1"/>
    </row>
    <row r="198" spans="1:39" ht="43.2" x14ac:dyDescent="0.3">
      <c r="A198" s="3" t="s">
        <v>99</v>
      </c>
      <c r="B198" s="3" t="s">
        <v>165</v>
      </c>
      <c r="C198" s="2" t="s">
        <v>215</v>
      </c>
      <c r="D198" s="2" t="s">
        <v>291</v>
      </c>
      <c r="E198" s="2" t="s">
        <v>372</v>
      </c>
      <c r="F198" s="3" t="s">
        <v>387</v>
      </c>
      <c r="G198" s="2" t="s">
        <v>476</v>
      </c>
      <c r="H198" s="3" t="s">
        <v>620</v>
      </c>
      <c r="I198" s="4">
        <v>0</v>
      </c>
      <c r="J198" s="4">
        <v>0</v>
      </c>
      <c r="K198" s="4">
        <v>0</v>
      </c>
      <c r="L198" s="4">
        <v>78614928.049999997</v>
      </c>
      <c r="M198" s="4">
        <v>0</v>
      </c>
      <c r="N198" s="4">
        <v>78614928.049999997</v>
      </c>
      <c r="O198" s="4">
        <v>78614928.049999997</v>
      </c>
      <c r="P198" s="4">
        <v>78614928.049999997</v>
      </c>
      <c r="Q198" s="4">
        <v>78614928</v>
      </c>
      <c r="R198" s="4">
        <v>23584478.420000002</v>
      </c>
      <c r="S198" s="4">
        <v>0</v>
      </c>
      <c r="T198" s="4">
        <v>0</v>
      </c>
      <c r="U198" s="23" t="s">
        <v>603</v>
      </c>
      <c r="V198" s="31">
        <v>170200900</v>
      </c>
      <c r="W198" s="17" t="s">
        <v>822</v>
      </c>
      <c r="X198" s="17" t="s">
        <v>749</v>
      </c>
      <c r="Y198" s="15" t="s">
        <v>781</v>
      </c>
      <c r="Z198" s="17">
        <v>2025</v>
      </c>
      <c r="AA198" s="17" t="s">
        <v>716</v>
      </c>
      <c r="AB198" s="81">
        <v>2025</v>
      </c>
      <c r="AC198" s="16" t="s">
        <v>716</v>
      </c>
      <c r="AD198" s="16" t="s">
        <v>849</v>
      </c>
      <c r="AE198" s="16" t="s">
        <v>876</v>
      </c>
      <c r="AF198" s="16" t="str">
        <f>_xlfn.CONCAT(EjecucionHaciendaDiciembre[[#This Row],[NOMBRE_RUBRO]]," - ",EjecucionHaciendaDiciembre[[#This Row],[NOMBRE_RECURSO]])</f>
        <v>Servicios para la comunidad, sociales y personales - 1.2.1.0.00 - INGRESOS CORRIENTES DE LIBRE DESTINACION</v>
      </c>
      <c r="AH198" s="1"/>
      <c r="AI198" s="1"/>
      <c r="AJ198" s="1"/>
      <c r="AK198" s="1"/>
      <c r="AL198" s="1"/>
      <c r="AM198" s="1"/>
    </row>
    <row r="199" spans="1:39" ht="86.4" x14ac:dyDescent="0.3">
      <c r="A199" s="3" t="s">
        <v>99</v>
      </c>
      <c r="B199" s="3" t="s">
        <v>165</v>
      </c>
      <c r="C199" s="2" t="s">
        <v>215</v>
      </c>
      <c r="D199" s="2" t="s">
        <v>291</v>
      </c>
      <c r="E199" s="2" t="s">
        <v>371</v>
      </c>
      <c r="F199" s="3" t="s">
        <v>385</v>
      </c>
      <c r="G199" s="2" t="s">
        <v>477</v>
      </c>
      <c r="H199" s="3" t="s">
        <v>631</v>
      </c>
      <c r="I199" s="4">
        <v>300000000</v>
      </c>
      <c r="J199" s="4">
        <v>0</v>
      </c>
      <c r="K199" s="4">
        <v>0</v>
      </c>
      <c r="L199" s="4">
        <v>0</v>
      </c>
      <c r="M199" s="4">
        <v>0</v>
      </c>
      <c r="N199" s="4">
        <v>300000000</v>
      </c>
      <c r="O199" s="4">
        <v>299999184</v>
      </c>
      <c r="P199" s="4">
        <v>299999184</v>
      </c>
      <c r="Q199" s="4">
        <v>261486033</v>
      </c>
      <c r="R199" s="4">
        <v>261486033</v>
      </c>
      <c r="S199" s="4">
        <v>261486033</v>
      </c>
      <c r="T199" s="4">
        <v>816</v>
      </c>
      <c r="U199" s="23" t="s">
        <v>624</v>
      </c>
      <c r="V199" s="31">
        <v>459900200</v>
      </c>
      <c r="W199" s="17" t="s">
        <v>789</v>
      </c>
      <c r="X199" s="17" t="s">
        <v>748</v>
      </c>
      <c r="Y199" s="15" t="s">
        <v>779</v>
      </c>
      <c r="Z199" s="17">
        <v>2024</v>
      </c>
      <c r="AA199" s="17" t="s">
        <v>716</v>
      </c>
      <c r="AB199" s="81">
        <v>2024</v>
      </c>
      <c r="AC199" s="16" t="s">
        <v>716</v>
      </c>
      <c r="AD199" s="16" t="s">
        <v>849</v>
      </c>
      <c r="AE199" s="16" t="s">
        <v>855</v>
      </c>
      <c r="AF199" s="16" t="str">
        <f>_xlfn.CONCAT(EjecucionHaciendaDiciembre[[#This Row],[NOMBRE_RUBRO]]," - ",EjecucionHaciendaDiciembre[[#This Row],[NOMBRE_RECURSO]])</f>
        <v>Servicios para la comunidad, sociales y personales - 1.2.1.0.00 - INGRESOS CORRIENTES DE LIBRE DESTINACION</v>
      </c>
      <c r="AH199" s="1"/>
      <c r="AI199" s="1"/>
      <c r="AJ199" s="1"/>
      <c r="AK199" s="1"/>
      <c r="AL199" s="1"/>
      <c r="AM199" s="1"/>
    </row>
    <row r="200" spans="1:39" ht="43.2" x14ac:dyDescent="0.3">
      <c r="A200" s="32" t="s">
        <v>99</v>
      </c>
      <c r="B200" s="32" t="s">
        <v>165</v>
      </c>
      <c r="C200" s="33" t="s">
        <v>215</v>
      </c>
      <c r="D200" s="33" t="s">
        <v>291</v>
      </c>
      <c r="E200" s="33" t="s">
        <v>244</v>
      </c>
      <c r="F200" s="32" t="s">
        <v>383</v>
      </c>
      <c r="G200" s="33" t="s">
        <v>399</v>
      </c>
      <c r="H200" s="32"/>
      <c r="I200" s="34">
        <v>541237000</v>
      </c>
      <c r="J200" s="34">
        <v>0</v>
      </c>
      <c r="K200" s="34">
        <v>0</v>
      </c>
      <c r="L200" s="34">
        <v>0</v>
      </c>
      <c r="M200" s="34">
        <v>329654160</v>
      </c>
      <c r="N200" s="34">
        <v>211582840</v>
      </c>
      <c r="O200" s="34">
        <v>0</v>
      </c>
      <c r="P200" s="34">
        <v>0</v>
      </c>
      <c r="Q200" s="34">
        <v>0</v>
      </c>
      <c r="R200" s="34">
        <v>0</v>
      </c>
      <c r="S200" s="34">
        <v>0</v>
      </c>
      <c r="T200" s="34">
        <v>211582840</v>
      </c>
      <c r="U200" s="35"/>
      <c r="V200" s="85"/>
      <c r="W200" s="17"/>
      <c r="X200" s="17" t="s">
        <v>716</v>
      </c>
      <c r="Y200" s="15"/>
      <c r="Z200" s="17"/>
      <c r="AA200" s="17" t="s">
        <v>716</v>
      </c>
      <c r="AB200" s="81"/>
      <c r="AC200" s="16" t="s">
        <v>716</v>
      </c>
      <c r="AD200" s="16" t="s">
        <v>849</v>
      </c>
      <c r="AE200" s="16" t="s">
        <v>855</v>
      </c>
      <c r="AF200" s="16" t="str">
        <f>_xlfn.CONCAT(EjecucionHaciendaDiciembre[[#This Row],[NOMBRE_RUBRO]]," - ",EjecucionHaciendaDiciembre[[#This Row],[NOMBRE_RECURSO]])</f>
        <v>Servicios para la comunidad, sociales y personales - 1.2.1.0.00 - INGRESOS CORRIENTES DE LIBRE DESTINACION</v>
      </c>
      <c r="AH200" s="1"/>
      <c r="AI200" s="1"/>
      <c r="AJ200" s="1"/>
      <c r="AK200" s="1"/>
      <c r="AL200" s="1"/>
      <c r="AM200" s="1"/>
    </row>
    <row r="201" spans="1:39" ht="57.6" x14ac:dyDescent="0.3">
      <c r="A201" s="3" t="s">
        <v>99</v>
      </c>
      <c r="B201" s="3" t="s">
        <v>165</v>
      </c>
      <c r="C201" s="2" t="s">
        <v>215</v>
      </c>
      <c r="D201" s="2" t="s">
        <v>291</v>
      </c>
      <c r="E201" s="2" t="s">
        <v>244</v>
      </c>
      <c r="F201" s="3" t="s">
        <v>383</v>
      </c>
      <c r="G201" s="47" t="s">
        <v>478</v>
      </c>
      <c r="H201" s="3" t="s">
        <v>682</v>
      </c>
      <c r="I201" s="4">
        <v>208763000</v>
      </c>
      <c r="J201" s="4">
        <v>0</v>
      </c>
      <c r="K201" s="4">
        <v>0</v>
      </c>
      <c r="L201" s="4">
        <v>0</v>
      </c>
      <c r="M201" s="4">
        <v>0</v>
      </c>
      <c r="N201" s="4">
        <v>208763000</v>
      </c>
      <c r="O201" s="4">
        <v>207441500</v>
      </c>
      <c r="P201" s="4">
        <v>207441500</v>
      </c>
      <c r="Q201" s="4">
        <v>206073500</v>
      </c>
      <c r="R201" s="4">
        <v>206073500</v>
      </c>
      <c r="S201" s="4">
        <v>206073500</v>
      </c>
      <c r="T201" s="4">
        <v>1321500</v>
      </c>
      <c r="U201" s="23" t="s">
        <v>737</v>
      </c>
      <c r="V201" s="31">
        <v>410103800</v>
      </c>
      <c r="W201" s="17" t="s">
        <v>789</v>
      </c>
      <c r="X201" s="17" t="s">
        <v>755</v>
      </c>
      <c r="Y201" s="15" t="s">
        <v>779</v>
      </c>
      <c r="Z201" s="17">
        <v>2024</v>
      </c>
      <c r="AA201" s="17" t="s">
        <v>716</v>
      </c>
      <c r="AB201" s="81">
        <v>2024</v>
      </c>
      <c r="AC201" s="16" t="s">
        <v>716</v>
      </c>
      <c r="AD201" s="16" t="s">
        <v>849</v>
      </c>
      <c r="AE201" s="16" t="s">
        <v>855</v>
      </c>
      <c r="AF201" s="16" t="str">
        <f>_xlfn.CONCAT(EjecucionHaciendaDiciembre[[#This Row],[NOMBRE_RUBRO]]," - ",EjecucionHaciendaDiciembre[[#This Row],[NOMBRE_RECURSO]])</f>
        <v>Servicios para la comunidad, sociales y personales - 1.2.1.0.00 - INGRESOS CORRIENTES DE LIBRE DESTINACION</v>
      </c>
      <c r="AH201" s="1"/>
      <c r="AI201" s="1"/>
      <c r="AJ201" s="1"/>
      <c r="AK201" s="1"/>
      <c r="AL201" s="1"/>
      <c r="AM201" s="1"/>
    </row>
    <row r="202" spans="1:39" ht="43.2" x14ac:dyDescent="0.3">
      <c r="A202" s="3" t="s">
        <v>99</v>
      </c>
      <c r="B202" s="3" t="s">
        <v>165</v>
      </c>
      <c r="C202" s="2" t="s">
        <v>215</v>
      </c>
      <c r="D202" s="2" t="s">
        <v>291</v>
      </c>
      <c r="E202" s="2" t="s">
        <v>244</v>
      </c>
      <c r="F202" s="3" t="s">
        <v>383</v>
      </c>
      <c r="G202" s="47" t="s">
        <v>479</v>
      </c>
      <c r="H202" s="3" t="s">
        <v>683</v>
      </c>
      <c r="I202" s="4">
        <v>100000000</v>
      </c>
      <c r="J202" s="4">
        <v>0</v>
      </c>
      <c r="K202" s="4">
        <v>0</v>
      </c>
      <c r="L202" s="4">
        <v>0</v>
      </c>
      <c r="M202" s="4">
        <v>0</v>
      </c>
      <c r="N202" s="4">
        <v>100000000</v>
      </c>
      <c r="O202" s="4">
        <v>85000000</v>
      </c>
      <c r="P202" s="4">
        <v>85000000</v>
      </c>
      <c r="Q202" s="4">
        <v>85000000</v>
      </c>
      <c r="R202" s="4">
        <v>85000000</v>
      </c>
      <c r="S202" s="4">
        <v>85000000</v>
      </c>
      <c r="T202" s="4">
        <v>15000000</v>
      </c>
      <c r="U202" s="23" t="s">
        <v>738</v>
      </c>
      <c r="V202" s="31">
        <v>450202200</v>
      </c>
      <c r="W202" s="17" t="s">
        <v>789</v>
      </c>
      <c r="X202" s="17" t="s">
        <v>755</v>
      </c>
      <c r="Y202" s="15" t="s">
        <v>779</v>
      </c>
      <c r="Z202" s="17">
        <v>2024</v>
      </c>
      <c r="AA202" s="17" t="s">
        <v>716</v>
      </c>
      <c r="AB202" s="81">
        <v>2024</v>
      </c>
      <c r="AC202" s="16" t="s">
        <v>716</v>
      </c>
      <c r="AD202" s="16" t="s">
        <v>849</v>
      </c>
      <c r="AE202" s="16" t="s">
        <v>855</v>
      </c>
      <c r="AF202" s="16" t="str">
        <f>_xlfn.CONCAT(EjecucionHaciendaDiciembre[[#This Row],[NOMBRE_RUBRO]]," - ",EjecucionHaciendaDiciembre[[#This Row],[NOMBRE_RECURSO]])</f>
        <v>Servicios para la comunidad, sociales y personales - 1.2.1.0.00 - INGRESOS CORRIENTES DE LIBRE DESTINACION</v>
      </c>
      <c r="AH202" s="1"/>
      <c r="AI202" s="1"/>
      <c r="AJ202" s="1"/>
      <c r="AK202" s="1"/>
      <c r="AL202" s="1"/>
      <c r="AM202" s="1"/>
    </row>
    <row r="203" spans="1:39" ht="43.2" x14ac:dyDescent="0.3">
      <c r="A203" s="3" t="s">
        <v>99</v>
      </c>
      <c r="B203" s="3" t="s">
        <v>165</v>
      </c>
      <c r="C203" s="2" t="s">
        <v>215</v>
      </c>
      <c r="D203" s="2" t="s">
        <v>291</v>
      </c>
      <c r="E203" s="2" t="s">
        <v>244</v>
      </c>
      <c r="F203" s="3" t="s">
        <v>383</v>
      </c>
      <c r="G203" s="47" t="s">
        <v>480</v>
      </c>
      <c r="H203" s="3" t="s">
        <v>684</v>
      </c>
      <c r="I203" s="4">
        <v>0</v>
      </c>
      <c r="J203" s="4">
        <v>0</v>
      </c>
      <c r="K203" s="4">
        <v>0</v>
      </c>
      <c r="L203" s="4">
        <v>219671500</v>
      </c>
      <c r="M203" s="4">
        <v>0</v>
      </c>
      <c r="N203" s="4">
        <v>219671500</v>
      </c>
      <c r="O203" s="4">
        <v>219671500</v>
      </c>
      <c r="P203" s="4">
        <v>219671500</v>
      </c>
      <c r="Q203" s="4">
        <v>219671400</v>
      </c>
      <c r="R203" s="4">
        <v>219668400.00999999</v>
      </c>
      <c r="S203" s="4">
        <v>219668400.00999999</v>
      </c>
      <c r="T203" s="4">
        <v>0</v>
      </c>
      <c r="U203" s="23" t="s">
        <v>738</v>
      </c>
      <c r="V203" s="31">
        <v>450202200</v>
      </c>
      <c r="W203" s="17" t="s">
        <v>789</v>
      </c>
      <c r="X203" s="17" t="s">
        <v>749</v>
      </c>
      <c r="Y203" s="15" t="s">
        <v>779</v>
      </c>
      <c r="Z203" s="17">
        <v>2024</v>
      </c>
      <c r="AA203" s="17" t="s">
        <v>716</v>
      </c>
      <c r="AB203" s="81">
        <v>2024</v>
      </c>
      <c r="AC203" s="16" t="s">
        <v>716</v>
      </c>
      <c r="AD203" s="16" t="s">
        <v>849</v>
      </c>
      <c r="AE203" s="16" t="s">
        <v>855</v>
      </c>
      <c r="AF203" s="16" t="str">
        <f>_xlfn.CONCAT(EjecucionHaciendaDiciembre[[#This Row],[NOMBRE_RUBRO]]," - ",EjecucionHaciendaDiciembre[[#This Row],[NOMBRE_RECURSO]])</f>
        <v>Servicios para la comunidad, sociales y personales - 1.2.1.0.00 - INGRESOS CORRIENTES DE LIBRE DESTINACION</v>
      </c>
      <c r="AH203" s="1"/>
      <c r="AI203" s="1"/>
      <c r="AJ203" s="1"/>
      <c r="AK203" s="1"/>
      <c r="AL203" s="1"/>
      <c r="AM203" s="1"/>
    </row>
    <row r="204" spans="1:39" ht="43.2" x14ac:dyDescent="0.3">
      <c r="A204" s="3" t="s">
        <v>99</v>
      </c>
      <c r="B204" s="3" t="s">
        <v>165</v>
      </c>
      <c r="C204" s="2" t="s">
        <v>215</v>
      </c>
      <c r="D204" s="2" t="s">
        <v>291</v>
      </c>
      <c r="E204" s="2" t="s">
        <v>244</v>
      </c>
      <c r="F204" s="3" t="s">
        <v>383</v>
      </c>
      <c r="G204" s="47" t="s">
        <v>481</v>
      </c>
      <c r="H204" s="3" t="s">
        <v>685</v>
      </c>
      <c r="I204" s="4">
        <v>0</v>
      </c>
      <c r="J204" s="4">
        <v>0</v>
      </c>
      <c r="K204" s="4">
        <v>0</v>
      </c>
      <c r="L204" s="4">
        <v>29332660</v>
      </c>
      <c r="M204" s="4">
        <v>0</v>
      </c>
      <c r="N204" s="4">
        <v>29332660</v>
      </c>
      <c r="O204" s="4">
        <v>29332660</v>
      </c>
      <c r="P204" s="4">
        <v>29332660</v>
      </c>
      <c r="Q204" s="4">
        <v>23660000</v>
      </c>
      <c r="R204" s="4">
        <v>9087552.8100000005</v>
      </c>
      <c r="S204" s="4">
        <v>8287499.1500000004</v>
      </c>
      <c r="T204" s="4">
        <v>0</v>
      </c>
      <c r="U204" s="23" t="s">
        <v>739</v>
      </c>
      <c r="V204" s="31">
        <v>450200100</v>
      </c>
      <c r="W204" s="17" t="s">
        <v>814</v>
      </c>
      <c r="X204" s="17" t="s">
        <v>755</v>
      </c>
      <c r="Y204" s="15" t="s">
        <v>779</v>
      </c>
      <c r="Z204" s="17">
        <v>2024</v>
      </c>
      <c r="AA204" s="17" t="s">
        <v>716</v>
      </c>
      <c r="AB204" s="81">
        <v>2024</v>
      </c>
      <c r="AC204" s="16" t="s">
        <v>716</v>
      </c>
      <c r="AD204" s="16" t="s">
        <v>849</v>
      </c>
      <c r="AE204" s="16" t="s">
        <v>855</v>
      </c>
      <c r="AF204" s="16" t="str">
        <f>_xlfn.CONCAT(EjecucionHaciendaDiciembre[[#This Row],[NOMBRE_RUBRO]]," - ",EjecucionHaciendaDiciembre[[#This Row],[NOMBRE_RECURSO]])</f>
        <v>Servicios para la comunidad, sociales y personales - 1.2.1.0.00 - INGRESOS CORRIENTES DE LIBRE DESTINACION</v>
      </c>
      <c r="AH204" s="1"/>
      <c r="AI204" s="1"/>
      <c r="AJ204" s="1"/>
      <c r="AK204" s="1"/>
      <c r="AL204" s="1"/>
      <c r="AM204" s="1"/>
    </row>
    <row r="205" spans="1:39" ht="43.2" x14ac:dyDescent="0.3">
      <c r="A205" s="3" t="s">
        <v>99</v>
      </c>
      <c r="B205" s="3" t="s">
        <v>165</v>
      </c>
      <c r="C205" s="2" t="s">
        <v>215</v>
      </c>
      <c r="D205" s="2" t="s">
        <v>291</v>
      </c>
      <c r="E205" s="2" t="s">
        <v>244</v>
      </c>
      <c r="F205" s="3" t="s">
        <v>383</v>
      </c>
      <c r="G205" s="47" t="s">
        <v>482</v>
      </c>
      <c r="H205" s="3" t="s">
        <v>686</v>
      </c>
      <c r="I205" s="4">
        <v>0</v>
      </c>
      <c r="J205" s="4">
        <v>0</v>
      </c>
      <c r="K205" s="4">
        <v>0</v>
      </c>
      <c r="L205" s="4">
        <v>80650008</v>
      </c>
      <c r="M205" s="4">
        <v>0</v>
      </c>
      <c r="N205" s="4">
        <v>80650008</v>
      </c>
      <c r="O205" s="4">
        <v>80650008</v>
      </c>
      <c r="P205" s="4">
        <v>80650008</v>
      </c>
      <c r="Q205" s="4">
        <v>59346500</v>
      </c>
      <c r="R205" s="4">
        <v>53873000</v>
      </c>
      <c r="S205" s="4">
        <v>53873000</v>
      </c>
      <c r="T205" s="4">
        <v>0</v>
      </c>
      <c r="U205" s="23" t="s">
        <v>740</v>
      </c>
      <c r="V205" s="54">
        <v>410102500</v>
      </c>
      <c r="W205" s="17" t="s">
        <v>789</v>
      </c>
      <c r="X205" s="17" t="s">
        <v>748</v>
      </c>
      <c r="Y205" s="15" t="s">
        <v>779</v>
      </c>
      <c r="Z205" s="17">
        <v>2024</v>
      </c>
      <c r="AA205" s="17" t="s">
        <v>716</v>
      </c>
      <c r="AB205" s="81">
        <v>2024</v>
      </c>
      <c r="AC205" s="16" t="s">
        <v>716</v>
      </c>
      <c r="AD205" s="16" t="s">
        <v>849</v>
      </c>
      <c r="AE205" s="16" t="s">
        <v>855</v>
      </c>
      <c r="AF205" s="16" t="str">
        <f>_xlfn.CONCAT(EjecucionHaciendaDiciembre[[#This Row],[NOMBRE_RUBRO]]," - ",EjecucionHaciendaDiciembre[[#This Row],[NOMBRE_RECURSO]])</f>
        <v>Servicios para la comunidad, sociales y personales - 1.2.1.0.00 - INGRESOS CORRIENTES DE LIBRE DESTINACION</v>
      </c>
      <c r="AH205" s="1"/>
      <c r="AI205" s="1"/>
      <c r="AJ205" s="1"/>
      <c r="AK205" s="1"/>
      <c r="AL205" s="1"/>
      <c r="AM205" s="1"/>
    </row>
    <row r="206" spans="1:39" ht="43.2" x14ac:dyDescent="0.3">
      <c r="A206" s="3" t="s">
        <v>99</v>
      </c>
      <c r="B206" s="3" t="s">
        <v>165</v>
      </c>
      <c r="C206" s="2" t="s">
        <v>215</v>
      </c>
      <c r="D206" s="2" t="s">
        <v>291</v>
      </c>
      <c r="E206" s="2" t="s">
        <v>367</v>
      </c>
      <c r="F206" s="3" t="s">
        <v>379</v>
      </c>
      <c r="G206" s="55" t="s">
        <v>483</v>
      </c>
      <c r="H206" s="3" t="s">
        <v>689</v>
      </c>
      <c r="I206" s="4">
        <v>0</v>
      </c>
      <c r="J206" s="4">
        <v>0</v>
      </c>
      <c r="K206" s="4">
        <v>0</v>
      </c>
      <c r="L206" s="4">
        <v>4000000000</v>
      </c>
      <c r="M206" s="4">
        <v>50000000</v>
      </c>
      <c r="N206" s="4">
        <v>3950000000</v>
      </c>
      <c r="O206" s="4">
        <v>3950000000</v>
      </c>
      <c r="P206" s="4">
        <v>3950000000</v>
      </c>
      <c r="Q206" s="4">
        <v>3946233332.3000002</v>
      </c>
      <c r="R206" s="4">
        <v>3846933339</v>
      </c>
      <c r="S206" s="4">
        <v>3810833339</v>
      </c>
      <c r="T206" s="4">
        <v>0</v>
      </c>
      <c r="U206" s="23" t="s">
        <v>741</v>
      </c>
      <c r="V206" s="31">
        <v>459903100</v>
      </c>
      <c r="W206" s="17" t="s">
        <v>830</v>
      </c>
      <c r="X206" s="17" t="s">
        <v>748</v>
      </c>
      <c r="Y206" s="15" t="s">
        <v>779</v>
      </c>
      <c r="Z206" s="17">
        <v>2024</v>
      </c>
      <c r="AA206" s="17" t="s">
        <v>716</v>
      </c>
      <c r="AB206" s="81">
        <v>2024</v>
      </c>
      <c r="AC206" s="16" t="s">
        <v>716</v>
      </c>
      <c r="AD206" s="16" t="s">
        <v>849</v>
      </c>
      <c r="AE206" s="16" t="s">
        <v>855</v>
      </c>
      <c r="AF206" s="16" t="str">
        <f>_xlfn.CONCAT(EjecucionHaciendaDiciembre[[#This Row],[NOMBRE_RUBRO]]," - ",EjecucionHaciendaDiciembre[[#This Row],[NOMBRE_RECURSO]])</f>
        <v>Servicios para la comunidad, sociales y personales - 1.2.1.0.00 - INGRESOS CORRIENTES DE LIBRE DESTINACION</v>
      </c>
      <c r="AH206" s="1"/>
      <c r="AI206" s="1"/>
      <c r="AJ206" s="1"/>
      <c r="AK206" s="1"/>
      <c r="AL206" s="1"/>
      <c r="AM206" s="1"/>
    </row>
    <row r="207" spans="1:39" ht="134.4" customHeight="1" x14ac:dyDescent="0.3">
      <c r="A207" s="3" t="s">
        <v>99</v>
      </c>
      <c r="B207" s="3" t="s">
        <v>165</v>
      </c>
      <c r="C207" s="2" t="s">
        <v>215</v>
      </c>
      <c r="D207" s="2" t="s">
        <v>291</v>
      </c>
      <c r="E207" s="2" t="s">
        <v>369</v>
      </c>
      <c r="F207" s="3" t="s">
        <v>382</v>
      </c>
      <c r="G207" s="56" t="s">
        <v>891</v>
      </c>
      <c r="H207" s="3" t="s">
        <v>889</v>
      </c>
      <c r="I207" s="4">
        <v>130000000</v>
      </c>
      <c r="J207" s="4">
        <v>0</v>
      </c>
      <c r="K207" s="4">
        <v>0</v>
      </c>
      <c r="L207" s="4">
        <v>0</v>
      </c>
      <c r="M207" s="4">
        <v>0</v>
      </c>
      <c r="N207" s="4">
        <v>130000000</v>
      </c>
      <c r="O207" s="4">
        <v>95764717</v>
      </c>
      <c r="P207" s="4">
        <v>95764717</v>
      </c>
      <c r="Q207" s="4">
        <v>95764717</v>
      </c>
      <c r="R207" s="4">
        <v>95764717</v>
      </c>
      <c r="S207" s="4">
        <v>95764717</v>
      </c>
      <c r="T207" s="4">
        <v>34235283</v>
      </c>
      <c r="U207" s="23" t="s">
        <v>852</v>
      </c>
      <c r="V207" s="24">
        <v>400103300</v>
      </c>
      <c r="W207" s="17" t="s">
        <v>890</v>
      </c>
      <c r="X207" s="17" t="s">
        <v>716</v>
      </c>
      <c r="Y207" s="15"/>
      <c r="Z207" s="17"/>
      <c r="AA207" s="17" t="s">
        <v>716</v>
      </c>
      <c r="AB207" s="81"/>
      <c r="AC207" s="16" t="s">
        <v>716</v>
      </c>
      <c r="AD207" s="16" t="s">
        <v>849</v>
      </c>
      <c r="AE207" s="16" t="s">
        <v>856</v>
      </c>
      <c r="AF207" s="16" t="str">
        <f>_xlfn.CONCAT(EjecucionHaciendaDiciembre[[#This Row],[NOMBRE_RUBRO]]," - ",EjecucionHaciendaDiciembre[[#This Row],[NOMBRE_RECURSO]])</f>
        <v>Servicios para la comunidad, sociales y personales - 1.2.1.0.00 - INGRESOS CORRIENTES DE LIBRE DESTINACION</v>
      </c>
      <c r="AH207" s="1"/>
      <c r="AI207" s="1"/>
      <c r="AJ207" s="1"/>
      <c r="AK207" s="1"/>
      <c r="AL207" s="1"/>
      <c r="AM207" s="1"/>
    </row>
    <row r="208" spans="1:39" ht="43.2" x14ac:dyDescent="0.3">
      <c r="A208" s="32" t="s">
        <v>99</v>
      </c>
      <c r="B208" s="32" t="s">
        <v>165</v>
      </c>
      <c r="C208" s="33" t="s">
        <v>215</v>
      </c>
      <c r="D208" s="33" t="s">
        <v>291</v>
      </c>
      <c r="E208" s="33" t="s">
        <v>270</v>
      </c>
      <c r="F208" s="32" t="s">
        <v>391</v>
      </c>
      <c r="G208" s="33" t="s">
        <v>399</v>
      </c>
      <c r="H208" s="32"/>
      <c r="I208" s="34">
        <v>806055157</v>
      </c>
      <c r="J208" s="34">
        <v>0</v>
      </c>
      <c r="K208" s="34">
        <v>0</v>
      </c>
      <c r="L208" s="34">
        <v>0</v>
      </c>
      <c r="M208" s="34">
        <v>727789216.17999995</v>
      </c>
      <c r="N208" s="34">
        <v>78265940.819999993</v>
      </c>
      <c r="O208" s="34">
        <v>0</v>
      </c>
      <c r="P208" s="34">
        <v>0</v>
      </c>
      <c r="Q208" s="34">
        <v>0</v>
      </c>
      <c r="R208" s="34">
        <v>0</v>
      </c>
      <c r="S208" s="34">
        <v>0</v>
      </c>
      <c r="T208" s="34">
        <v>78265940.819999993</v>
      </c>
      <c r="U208" s="35"/>
      <c r="V208" s="85"/>
      <c r="W208" s="17"/>
      <c r="X208" s="17" t="s">
        <v>716</v>
      </c>
      <c r="Y208" s="15"/>
      <c r="Z208" s="17"/>
      <c r="AA208" s="17" t="s">
        <v>716</v>
      </c>
      <c r="AB208" s="81"/>
      <c r="AC208" s="16" t="s">
        <v>716</v>
      </c>
      <c r="AD208" s="16" t="s">
        <v>849</v>
      </c>
      <c r="AE208" s="16" t="s">
        <v>855</v>
      </c>
      <c r="AF208" s="16" t="str">
        <f>_xlfn.CONCAT(EjecucionHaciendaDiciembre[[#This Row],[NOMBRE_RUBRO]]," - ",EjecucionHaciendaDiciembre[[#This Row],[NOMBRE_RECURSO]])</f>
        <v>Servicios para la comunidad, sociales y personales - 1.2.1.0.00 - INGRESOS CORRIENTES DE LIBRE DESTINACION</v>
      </c>
      <c r="AH208" s="1"/>
      <c r="AI208" s="1"/>
      <c r="AJ208" s="1"/>
      <c r="AK208" s="1"/>
      <c r="AL208" s="1"/>
      <c r="AM208" s="1"/>
    </row>
    <row r="209" spans="1:39" ht="57.6" x14ac:dyDescent="0.3">
      <c r="A209" s="3" t="s">
        <v>99</v>
      </c>
      <c r="B209" s="3" t="s">
        <v>165</v>
      </c>
      <c r="C209" s="2" t="s">
        <v>215</v>
      </c>
      <c r="D209" s="2" t="s">
        <v>291</v>
      </c>
      <c r="E209" s="2" t="s">
        <v>270</v>
      </c>
      <c r="F209" s="3" t="s">
        <v>391</v>
      </c>
      <c r="G209" s="2" t="s">
        <v>484</v>
      </c>
      <c r="H209" s="3" t="s">
        <v>692</v>
      </c>
      <c r="I209" s="4">
        <v>85000000</v>
      </c>
      <c r="J209" s="4">
        <v>0</v>
      </c>
      <c r="K209" s="4">
        <v>0</v>
      </c>
      <c r="L209" s="4">
        <v>0</v>
      </c>
      <c r="M209" s="4">
        <v>0</v>
      </c>
      <c r="N209" s="4">
        <v>85000000</v>
      </c>
      <c r="O209" s="4">
        <v>85000000</v>
      </c>
      <c r="P209" s="4">
        <v>85000000</v>
      </c>
      <c r="Q209" s="4">
        <v>85000000</v>
      </c>
      <c r="R209" s="4">
        <v>85000000</v>
      </c>
      <c r="S209" s="4">
        <v>85000000</v>
      </c>
      <c r="T209" s="4">
        <v>0</v>
      </c>
      <c r="U209" s="31" t="s">
        <v>742</v>
      </c>
      <c r="V209" s="31">
        <v>450203400</v>
      </c>
      <c r="W209" s="17" t="s">
        <v>789</v>
      </c>
      <c r="X209" s="17" t="s">
        <v>748</v>
      </c>
      <c r="Y209" s="15" t="s">
        <v>779</v>
      </c>
      <c r="Z209" s="17">
        <v>2024</v>
      </c>
      <c r="AA209" s="17" t="s">
        <v>716</v>
      </c>
      <c r="AB209" s="81">
        <v>2024</v>
      </c>
      <c r="AC209" s="16" t="s">
        <v>716</v>
      </c>
      <c r="AD209" s="16" t="s">
        <v>849</v>
      </c>
      <c r="AE209" s="16" t="s">
        <v>855</v>
      </c>
      <c r="AF209" s="16" t="str">
        <f>_xlfn.CONCAT(EjecucionHaciendaDiciembre[[#This Row],[NOMBRE_RUBRO]]," - ",EjecucionHaciendaDiciembre[[#This Row],[NOMBRE_RECURSO]])</f>
        <v>Servicios para la comunidad, sociales y personales - 1.2.1.0.00 - INGRESOS CORRIENTES DE LIBRE DESTINACION</v>
      </c>
      <c r="AH209" s="1"/>
      <c r="AI209" s="1"/>
      <c r="AJ209" s="1"/>
      <c r="AK209" s="1"/>
      <c r="AL209" s="1"/>
      <c r="AM209" s="1"/>
    </row>
    <row r="210" spans="1:39" ht="43.2" x14ac:dyDescent="0.3">
      <c r="A210" s="3" t="s">
        <v>99</v>
      </c>
      <c r="B210" s="3" t="s">
        <v>165</v>
      </c>
      <c r="C210" s="2" t="s">
        <v>215</v>
      </c>
      <c r="D210" s="2" t="s">
        <v>291</v>
      </c>
      <c r="E210" s="2" t="s">
        <v>270</v>
      </c>
      <c r="F210" s="3" t="s">
        <v>391</v>
      </c>
      <c r="G210" s="2" t="s">
        <v>485</v>
      </c>
      <c r="H210" s="3" t="s">
        <v>693</v>
      </c>
      <c r="I210" s="4">
        <v>85000000</v>
      </c>
      <c r="J210" s="4">
        <v>0</v>
      </c>
      <c r="K210" s="4">
        <v>0</v>
      </c>
      <c r="L210" s="4">
        <v>0</v>
      </c>
      <c r="M210" s="4">
        <v>0</v>
      </c>
      <c r="N210" s="4">
        <v>85000000</v>
      </c>
      <c r="O210" s="4">
        <v>85000000</v>
      </c>
      <c r="P210" s="4">
        <v>85000000</v>
      </c>
      <c r="Q210" s="4">
        <v>85000000</v>
      </c>
      <c r="R210" s="4">
        <v>85000000</v>
      </c>
      <c r="S210" s="4">
        <v>85000000</v>
      </c>
      <c r="T210" s="4">
        <v>0</v>
      </c>
      <c r="U210" s="23" t="s">
        <v>743</v>
      </c>
      <c r="V210" s="31">
        <v>410200100</v>
      </c>
      <c r="W210" s="17" t="s">
        <v>789</v>
      </c>
      <c r="X210" s="17" t="s">
        <v>750</v>
      </c>
      <c r="Y210" s="15" t="s">
        <v>779</v>
      </c>
      <c r="Z210" s="17">
        <v>2024</v>
      </c>
      <c r="AA210" s="17" t="s">
        <v>716</v>
      </c>
      <c r="AB210" s="81">
        <v>2024</v>
      </c>
      <c r="AC210" s="16" t="s">
        <v>716</v>
      </c>
      <c r="AD210" s="16" t="s">
        <v>849</v>
      </c>
      <c r="AE210" s="16" t="s">
        <v>855</v>
      </c>
      <c r="AF210" s="16" t="str">
        <f>_xlfn.CONCAT(EjecucionHaciendaDiciembre[[#This Row],[NOMBRE_RUBRO]]," - ",EjecucionHaciendaDiciembre[[#This Row],[NOMBRE_RECURSO]])</f>
        <v>Servicios para la comunidad, sociales y personales - 1.2.1.0.00 - INGRESOS CORRIENTES DE LIBRE DESTINACION</v>
      </c>
      <c r="AH210" s="1"/>
      <c r="AI210" s="1"/>
      <c r="AJ210" s="1"/>
      <c r="AK210" s="1"/>
      <c r="AL210" s="1"/>
      <c r="AM210" s="1"/>
    </row>
    <row r="211" spans="1:39" ht="43.2" x14ac:dyDescent="0.3">
      <c r="A211" s="3" t="s">
        <v>99</v>
      </c>
      <c r="B211" s="3" t="s">
        <v>165</v>
      </c>
      <c r="C211" s="2" t="s">
        <v>215</v>
      </c>
      <c r="D211" s="2" t="s">
        <v>291</v>
      </c>
      <c r="E211" s="2" t="s">
        <v>270</v>
      </c>
      <c r="F211" s="3" t="s">
        <v>391</v>
      </c>
      <c r="G211" s="2" t="s">
        <v>486</v>
      </c>
      <c r="H211" s="3" t="s">
        <v>694</v>
      </c>
      <c r="I211" s="4">
        <v>150000000</v>
      </c>
      <c r="J211" s="4">
        <v>0</v>
      </c>
      <c r="K211" s="4">
        <v>0</v>
      </c>
      <c r="L211" s="4">
        <v>0</v>
      </c>
      <c r="M211" s="4">
        <v>0</v>
      </c>
      <c r="N211" s="4">
        <v>150000000</v>
      </c>
      <c r="O211" s="4">
        <v>150000000</v>
      </c>
      <c r="P211" s="4">
        <v>150000000</v>
      </c>
      <c r="Q211" s="4">
        <v>150000000</v>
      </c>
      <c r="R211" s="4">
        <v>150000000</v>
      </c>
      <c r="S211" s="4">
        <v>150000000</v>
      </c>
      <c r="T211" s="4">
        <v>0</v>
      </c>
      <c r="U211" s="23" t="s">
        <v>744</v>
      </c>
      <c r="V211" s="31">
        <v>410402000</v>
      </c>
      <c r="W211" s="17" t="s">
        <v>789</v>
      </c>
      <c r="X211" s="17" t="s">
        <v>750</v>
      </c>
      <c r="Y211" s="15" t="s">
        <v>779</v>
      </c>
      <c r="Z211" s="17">
        <v>2024</v>
      </c>
      <c r="AA211" s="17" t="s">
        <v>716</v>
      </c>
      <c r="AB211" s="81">
        <v>2024</v>
      </c>
      <c r="AC211" s="16" t="s">
        <v>716</v>
      </c>
      <c r="AD211" s="16" t="s">
        <v>849</v>
      </c>
      <c r="AE211" s="16" t="s">
        <v>855</v>
      </c>
      <c r="AF211" s="16" t="str">
        <f>_xlfn.CONCAT(EjecucionHaciendaDiciembre[[#This Row],[NOMBRE_RUBRO]]," - ",EjecucionHaciendaDiciembre[[#This Row],[NOMBRE_RECURSO]])</f>
        <v>Servicios para la comunidad, sociales y personales - 1.2.1.0.00 - INGRESOS CORRIENTES DE LIBRE DESTINACION</v>
      </c>
      <c r="AH211" s="1"/>
      <c r="AI211" s="1"/>
      <c r="AJ211" s="1"/>
      <c r="AK211" s="1"/>
      <c r="AL211" s="1"/>
      <c r="AM211" s="1"/>
    </row>
    <row r="212" spans="1:39" ht="86.4" x14ac:dyDescent="0.3">
      <c r="A212" s="3" t="s">
        <v>99</v>
      </c>
      <c r="B212" s="3" t="s">
        <v>165</v>
      </c>
      <c r="C212" s="2" t="s">
        <v>215</v>
      </c>
      <c r="D212" s="2" t="s">
        <v>291</v>
      </c>
      <c r="E212" s="2" t="s">
        <v>270</v>
      </c>
      <c r="F212" s="3" t="s">
        <v>391</v>
      </c>
      <c r="G212" s="2" t="s">
        <v>487</v>
      </c>
      <c r="H212" s="3" t="s">
        <v>695</v>
      </c>
      <c r="I212" s="4">
        <v>150000000</v>
      </c>
      <c r="J212" s="4">
        <v>0</v>
      </c>
      <c r="K212" s="4">
        <v>0</v>
      </c>
      <c r="L212" s="4">
        <v>0</v>
      </c>
      <c r="M212" s="4">
        <v>0</v>
      </c>
      <c r="N212" s="4">
        <v>150000000</v>
      </c>
      <c r="O212" s="4">
        <v>150000000</v>
      </c>
      <c r="P212" s="4">
        <v>150000000</v>
      </c>
      <c r="Q212" s="4">
        <v>150000000</v>
      </c>
      <c r="R212" s="4">
        <v>150000000</v>
      </c>
      <c r="S212" s="4">
        <v>100000000</v>
      </c>
      <c r="T212" s="4">
        <v>0</v>
      </c>
      <c r="U212" s="23" t="s">
        <v>745</v>
      </c>
      <c r="V212" s="31">
        <v>410305200</v>
      </c>
      <c r="W212" s="17" t="s">
        <v>789</v>
      </c>
      <c r="X212" s="17" t="s">
        <v>817</v>
      </c>
      <c r="Y212" s="15" t="s">
        <v>779</v>
      </c>
      <c r="Z212" s="17">
        <v>2024</v>
      </c>
      <c r="AA212" s="17" t="s">
        <v>716</v>
      </c>
      <c r="AB212" s="81">
        <v>2024</v>
      </c>
      <c r="AC212" s="16" t="s">
        <v>716</v>
      </c>
      <c r="AD212" s="16" t="s">
        <v>849</v>
      </c>
      <c r="AE212" s="16" t="s">
        <v>877</v>
      </c>
      <c r="AF212" s="16" t="str">
        <f>_xlfn.CONCAT(EjecucionHaciendaDiciembre[[#This Row],[NOMBRE_RUBRO]]," - ",EjecucionHaciendaDiciembre[[#This Row],[NOMBRE_RECURSO]])</f>
        <v>Servicios para la comunidad, sociales y personales - 1.2.1.0.00 - INGRESOS CORRIENTES DE LIBRE DESTINACION</v>
      </c>
      <c r="AH212" s="1"/>
      <c r="AI212" s="1"/>
      <c r="AJ212" s="1"/>
      <c r="AK212" s="1"/>
      <c r="AL212" s="1"/>
      <c r="AM212" s="1"/>
    </row>
    <row r="213" spans="1:39" ht="57.6" x14ac:dyDescent="0.3">
      <c r="A213" s="3" t="s">
        <v>99</v>
      </c>
      <c r="B213" s="3" t="s">
        <v>165</v>
      </c>
      <c r="C213" s="2" t="s">
        <v>215</v>
      </c>
      <c r="D213" s="2" t="s">
        <v>291</v>
      </c>
      <c r="E213" s="2" t="s">
        <v>270</v>
      </c>
      <c r="F213" s="3" t="s">
        <v>391</v>
      </c>
      <c r="G213" s="55" t="s">
        <v>488</v>
      </c>
      <c r="H213" s="3" t="s">
        <v>696</v>
      </c>
      <c r="I213" s="4">
        <v>150000000</v>
      </c>
      <c r="J213" s="4">
        <v>0</v>
      </c>
      <c r="K213" s="4">
        <v>0</v>
      </c>
      <c r="L213" s="4">
        <v>0</v>
      </c>
      <c r="M213" s="4">
        <v>0</v>
      </c>
      <c r="N213" s="4">
        <v>150000000</v>
      </c>
      <c r="O213" s="4">
        <v>150000000</v>
      </c>
      <c r="P213" s="4">
        <v>150000000</v>
      </c>
      <c r="Q213" s="4">
        <v>148346200</v>
      </c>
      <c r="R213" s="4">
        <v>148346200</v>
      </c>
      <c r="S213" s="4">
        <v>148346200</v>
      </c>
      <c r="T213" s="4">
        <v>0</v>
      </c>
      <c r="U213" s="23" t="s">
        <v>818</v>
      </c>
      <c r="V213" s="31">
        <v>410204300</v>
      </c>
      <c r="W213" s="17" t="s">
        <v>789</v>
      </c>
      <c r="X213" s="17" t="s">
        <v>817</v>
      </c>
      <c r="Y213" s="15" t="s">
        <v>779</v>
      </c>
      <c r="Z213" s="17">
        <v>2024</v>
      </c>
      <c r="AA213" s="17" t="s">
        <v>716</v>
      </c>
      <c r="AB213" s="81">
        <v>2024</v>
      </c>
      <c r="AC213" s="16" t="s">
        <v>716</v>
      </c>
      <c r="AD213" s="16" t="s">
        <v>849</v>
      </c>
      <c r="AE213" s="16" t="s">
        <v>855</v>
      </c>
      <c r="AF213" s="16" t="str">
        <f>_xlfn.CONCAT(EjecucionHaciendaDiciembre[[#This Row],[NOMBRE_RUBRO]]," - ",EjecucionHaciendaDiciembre[[#This Row],[NOMBRE_RECURSO]])</f>
        <v>Servicios para la comunidad, sociales y personales - 1.2.1.0.00 - INGRESOS CORRIENTES DE LIBRE DESTINACION</v>
      </c>
      <c r="AH213" s="1"/>
      <c r="AI213" s="1"/>
      <c r="AJ213" s="1"/>
      <c r="AK213" s="1"/>
      <c r="AL213" s="1"/>
      <c r="AM213" s="1"/>
    </row>
    <row r="214" spans="1:39" ht="72" x14ac:dyDescent="0.3">
      <c r="A214" s="36" t="s">
        <v>99</v>
      </c>
      <c r="B214" s="36" t="s">
        <v>165</v>
      </c>
      <c r="C214" s="37" t="s">
        <v>215</v>
      </c>
      <c r="D214" s="37" t="s">
        <v>291</v>
      </c>
      <c r="E214" s="37" t="s">
        <v>270</v>
      </c>
      <c r="F214" s="36" t="s">
        <v>391</v>
      </c>
      <c r="G214" s="37" t="s">
        <v>489</v>
      </c>
      <c r="H214" s="36" t="s">
        <v>697</v>
      </c>
      <c r="I214" s="38">
        <v>0</v>
      </c>
      <c r="J214" s="38">
        <v>0</v>
      </c>
      <c r="K214" s="38">
        <v>0</v>
      </c>
      <c r="L214" s="38">
        <v>287868246</v>
      </c>
      <c r="M214" s="38">
        <v>287868246</v>
      </c>
      <c r="N214" s="38">
        <v>0</v>
      </c>
      <c r="O214" s="38">
        <v>0</v>
      </c>
      <c r="P214" s="38">
        <v>0</v>
      </c>
      <c r="Q214" s="38">
        <v>0</v>
      </c>
      <c r="R214" s="38">
        <v>0</v>
      </c>
      <c r="S214" s="38">
        <v>0</v>
      </c>
      <c r="T214" s="38">
        <v>0</v>
      </c>
      <c r="U214" s="39"/>
      <c r="V214" s="84"/>
      <c r="W214" s="17"/>
      <c r="X214" s="17" t="s">
        <v>716</v>
      </c>
      <c r="Y214" s="15"/>
      <c r="Z214" s="17"/>
      <c r="AA214" s="17" t="s">
        <v>716</v>
      </c>
      <c r="AB214" s="81"/>
      <c r="AC214" s="16" t="s">
        <v>716</v>
      </c>
      <c r="AD214" s="16" t="s">
        <v>849</v>
      </c>
      <c r="AE214" s="16" t="s">
        <v>716</v>
      </c>
      <c r="AF214" s="16" t="str">
        <f>_xlfn.CONCAT(EjecucionHaciendaDiciembre[[#This Row],[NOMBRE_RUBRO]]," - ",EjecucionHaciendaDiciembre[[#This Row],[NOMBRE_RECURSO]])</f>
        <v>Servicios para la comunidad, sociales y personales - 1.2.1.0.00 - INGRESOS CORRIENTES DE LIBRE DESTINACION</v>
      </c>
      <c r="AH214" s="1"/>
      <c r="AI214" s="1"/>
      <c r="AJ214" s="1"/>
      <c r="AK214" s="1"/>
      <c r="AL214" s="1"/>
      <c r="AM214" s="1"/>
    </row>
    <row r="215" spans="1:39" ht="93" customHeight="1" x14ac:dyDescent="0.3">
      <c r="A215" s="3" t="s">
        <v>99</v>
      </c>
      <c r="B215" s="3" t="s">
        <v>165</v>
      </c>
      <c r="C215" s="2" t="s">
        <v>215</v>
      </c>
      <c r="D215" s="2" t="s">
        <v>291</v>
      </c>
      <c r="E215" s="2" t="s">
        <v>270</v>
      </c>
      <c r="F215" s="3" t="s">
        <v>391</v>
      </c>
      <c r="G215" s="2" t="s">
        <v>490</v>
      </c>
      <c r="H215" s="3" t="s">
        <v>698</v>
      </c>
      <c r="I215" s="4">
        <v>0</v>
      </c>
      <c r="J215" s="4">
        <v>0</v>
      </c>
      <c r="K215" s="4">
        <v>0</v>
      </c>
      <c r="L215" s="4">
        <v>84463056.25</v>
      </c>
      <c r="M215" s="4">
        <v>0</v>
      </c>
      <c r="N215" s="4">
        <v>84463056.25</v>
      </c>
      <c r="O215" s="4">
        <v>84463056.25</v>
      </c>
      <c r="P215" s="4">
        <v>84463056.25</v>
      </c>
      <c r="Q215" s="4">
        <v>74258000</v>
      </c>
      <c r="R215" s="4">
        <v>0</v>
      </c>
      <c r="S215" s="4">
        <v>0</v>
      </c>
      <c r="T215" s="4">
        <v>0</v>
      </c>
      <c r="U215" s="23" t="s">
        <v>743</v>
      </c>
      <c r="V215" s="24">
        <v>410200100</v>
      </c>
      <c r="W215" s="17" t="s">
        <v>819</v>
      </c>
      <c r="X215" s="17" t="s">
        <v>757</v>
      </c>
      <c r="Y215" s="15" t="s">
        <v>781</v>
      </c>
      <c r="Z215" s="17">
        <v>2025</v>
      </c>
      <c r="AA215" s="17" t="s">
        <v>716</v>
      </c>
      <c r="AB215" s="81">
        <v>2025</v>
      </c>
      <c r="AC215" s="16" t="s">
        <v>716</v>
      </c>
      <c r="AD215" s="16" t="s">
        <v>849</v>
      </c>
      <c r="AE215" s="16" t="s">
        <v>878</v>
      </c>
      <c r="AF215" s="16" t="str">
        <f>_xlfn.CONCAT(EjecucionHaciendaDiciembre[[#This Row],[NOMBRE_RUBRO]]," - ",EjecucionHaciendaDiciembre[[#This Row],[NOMBRE_RECURSO]])</f>
        <v>Servicios para la comunidad, sociales y personales - 1.2.1.0.00 - INGRESOS CORRIENTES DE LIBRE DESTINACION</v>
      </c>
      <c r="AH215" s="1"/>
      <c r="AI215" s="1"/>
      <c r="AJ215" s="1"/>
      <c r="AK215" s="1"/>
      <c r="AL215" s="1"/>
      <c r="AM215" s="1"/>
    </row>
    <row r="216" spans="1:39" ht="43.2" x14ac:dyDescent="0.3">
      <c r="A216" s="3" t="s">
        <v>99</v>
      </c>
      <c r="B216" s="3" t="s">
        <v>165</v>
      </c>
      <c r="C216" s="2" t="s">
        <v>215</v>
      </c>
      <c r="D216" s="2" t="s">
        <v>291</v>
      </c>
      <c r="E216" s="2" t="s">
        <v>270</v>
      </c>
      <c r="F216" s="3" t="s">
        <v>391</v>
      </c>
      <c r="G216" s="2" t="s">
        <v>491</v>
      </c>
      <c r="H216" s="3" t="s">
        <v>699</v>
      </c>
      <c r="I216" s="4">
        <v>0</v>
      </c>
      <c r="J216" s="4">
        <v>0</v>
      </c>
      <c r="K216" s="4">
        <v>0</v>
      </c>
      <c r="L216" s="4">
        <v>70000000</v>
      </c>
      <c r="M216" s="4">
        <v>0</v>
      </c>
      <c r="N216" s="4">
        <v>70000000</v>
      </c>
      <c r="O216" s="4">
        <v>70000000</v>
      </c>
      <c r="P216" s="4">
        <v>70000000</v>
      </c>
      <c r="Q216" s="4">
        <v>56700000</v>
      </c>
      <c r="R216" s="4">
        <v>56700000</v>
      </c>
      <c r="S216" s="4">
        <v>56700000</v>
      </c>
      <c r="T216" s="4">
        <v>0</v>
      </c>
      <c r="U216" s="23" t="s">
        <v>762</v>
      </c>
      <c r="V216" s="31">
        <v>450200100</v>
      </c>
      <c r="W216" s="17" t="s">
        <v>789</v>
      </c>
      <c r="X216" s="17" t="s">
        <v>750</v>
      </c>
      <c r="Y216" s="15" t="s">
        <v>779</v>
      </c>
      <c r="Z216" s="17">
        <v>2024</v>
      </c>
      <c r="AA216" s="17" t="s">
        <v>716</v>
      </c>
      <c r="AB216" s="81">
        <v>2024</v>
      </c>
      <c r="AC216" s="16" t="s">
        <v>716</v>
      </c>
      <c r="AD216" s="16" t="s">
        <v>849</v>
      </c>
      <c r="AE216" s="16" t="s">
        <v>855</v>
      </c>
      <c r="AF216" s="16" t="str">
        <f>_xlfn.CONCAT(EjecucionHaciendaDiciembre[[#This Row],[NOMBRE_RUBRO]]," - ",EjecucionHaciendaDiciembre[[#This Row],[NOMBRE_RECURSO]])</f>
        <v>Servicios para la comunidad, sociales y personales - 1.2.1.0.00 - INGRESOS CORRIENTES DE LIBRE DESTINACION</v>
      </c>
      <c r="AH216" s="1"/>
      <c r="AI216" s="1"/>
      <c r="AJ216" s="1"/>
      <c r="AK216" s="1"/>
      <c r="AL216" s="1"/>
      <c r="AM216" s="1"/>
    </row>
    <row r="217" spans="1:39" ht="72" x14ac:dyDescent="0.3">
      <c r="A217" s="3" t="s">
        <v>99</v>
      </c>
      <c r="B217" s="3" t="s">
        <v>165</v>
      </c>
      <c r="C217" s="2" t="s">
        <v>215</v>
      </c>
      <c r="D217" s="2" t="s">
        <v>291</v>
      </c>
      <c r="E217" s="2" t="s">
        <v>270</v>
      </c>
      <c r="F217" s="3" t="s">
        <v>391</v>
      </c>
      <c r="G217" s="2" t="s">
        <v>492</v>
      </c>
      <c r="H217" s="3" t="s">
        <v>700</v>
      </c>
      <c r="I217" s="4">
        <v>0</v>
      </c>
      <c r="J217" s="4">
        <v>0</v>
      </c>
      <c r="K217" s="4">
        <v>0</v>
      </c>
      <c r="L217" s="4">
        <v>60000000</v>
      </c>
      <c r="M217" s="4">
        <v>0</v>
      </c>
      <c r="N217" s="4">
        <v>60000000</v>
      </c>
      <c r="O217" s="4">
        <v>60000000</v>
      </c>
      <c r="P217" s="4">
        <v>60000000</v>
      </c>
      <c r="Q217" s="4">
        <v>55000000</v>
      </c>
      <c r="R217" s="4">
        <v>0</v>
      </c>
      <c r="S217" s="4">
        <v>0</v>
      </c>
      <c r="T217" s="4">
        <v>0</v>
      </c>
      <c r="U217" s="23" t="s">
        <v>763</v>
      </c>
      <c r="V217" s="31">
        <v>410400800</v>
      </c>
      <c r="W217" s="17" t="s">
        <v>820</v>
      </c>
      <c r="X217" s="17" t="s">
        <v>748</v>
      </c>
      <c r="Y217" s="15" t="s">
        <v>781</v>
      </c>
      <c r="Z217" s="17" t="s">
        <v>831</v>
      </c>
      <c r="AA217" s="17" t="s">
        <v>833</v>
      </c>
      <c r="AB217" s="81">
        <v>2025</v>
      </c>
      <c r="AC217" s="16" t="s">
        <v>833</v>
      </c>
      <c r="AD217" s="16" t="s">
        <v>849</v>
      </c>
      <c r="AE217" s="16" t="s">
        <v>855</v>
      </c>
      <c r="AF217" s="16" t="str">
        <f>_xlfn.CONCAT(EjecucionHaciendaDiciembre[[#This Row],[NOMBRE_RUBRO]]," - ",EjecucionHaciendaDiciembre[[#This Row],[NOMBRE_RECURSO]])</f>
        <v>Servicios para la comunidad, sociales y personales - 1.2.1.0.00 - INGRESOS CORRIENTES DE LIBRE DESTINACION</v>
      </c>
      <c r="AH217" s="1"/>
      <c r="AI217" s="1"/>
      <c r="AJ217" s="1"/>
      <c r="AK217" s="1"/>
      <c r="AL217" s="1"/>
      <c r="AM217" s="1"/>
    </row>
    <row r="218" spans="1:39" ht="43.2" x14ac:dyDescent="0.3">
      <c r="A218" s="25" t="s">
        <v>99</v>
      </c>
      <c r="B218" s="25" t="s">
        <v>165</v>
      </c>
      <c r="C218" s="26" t="s">
        <v>215</v>
      </c>
      <c r="D218" s="26" t="s">
        <v>291</v>
      </c>
      <c r="E218" s="26" t="s">
        <v>270</v>
      </c>
      <c r="F218" s="25" t="s">
        <v>391</v>
      </c>
      <c r="G218" s="26" t="s">
        <v>493</v>
      </c>
      <c r="H218" s="25" t="s">
        <v>701</v>
      </c>
      <c r="I218" s="27">
        <v>0</v>
      </c>
      <c r="J218" s="27">
        <v>0</v>
      </c>
      <c r="K218" s="27">
        <v>0</v>
      </c>
      <c r="L218" s="27">
        <v>100000000</v>
      </c>
      <c r="M218" s="27">
        <v>84500000</v>
      </c>
      <c r="N218" s="27">
        <v>15500000</v>
      </c>
      <c r="O218" s="27">
        <v>0</v>
      </c>
      <c r="P218" s="27">
        <v>0</v>
      </c>
      <c r="Q218" s="27">
        <v>0</v>
      </c>
      <c r="R218" s="27">
        <v>0</v>
      </c>
      <c r="S218" s="27">
        <v>0</v>
      </c>
      <c r="T218" s="27">
        <v>15500000</v>
      </c>
      <c r="U218" s="28" t="s">
        <v>762</v>
      </c>
      <c r="V218" s="53">
        <v>450200100</v>
      </c>
      <c r="W218" s="17" t="s">
        <v>815</v>
      </c>
      <c r="X218" s="17" t="s">
        <v>758</v>
      </c>
      <c r="Y218" s="15" t="s">
        <v>781</v>
      </c>
      <c r="Z218" s="17">
        <v>2025</v>
      </c>
      <c r="AA218" s="17" t="s">
        <v>716</v>
      </c>
      <c r="AB218" s="81">
        <v>2025</v>
      </c>
      <c r="AC218" s="16" t="s">
        <v>716</v>
      </c>
      <c r="AD218" s="16" t="s">
        <v>849</v>
      </c>
      <c r="AE218" s="16" t="s">
        <v>716</v>
      </c>
      <c r="AF218" s="16" t="str">
        <f>_xlfn.CONCAT(EjecucionHaciendaDiciembre[[#This Row],[NOMBRE_RUBRO]]," - ",EjecucionHaciendaDiciembre[[#This Row],[NOMBRE_RECURSO]])</f>
        <v>Servicios para la comunidad, sociales y personales - 1.2.1.0.00 - INGRESOS CORRIENTES DE LIBRE DESTINACION</v>
      </c>
      <c r="AH218" s="1"/>
      <c r="AI218" s="1"/>
      <c r="AJ218" s="1"/>
      <c r="AK218" s="1"/>
      <c r="AL218" s="1"/>
      <c r="AM218" s="1"/>
    </row>
    <row r="219" spans="1:39" ht="86.4" x14ac:dyDescent="0.3">
      <c r="A219" s="36" t="s">
        <v>99</v>
      </c>
      <c r="B219" s="36" t="s">
        <v>165</v>
      </c>
      <c r="C219" s="37" t="s">
        <v>215</v>
      </c>
      <c r="D219" s="37" t="s">
        <v>291</v>
      </c>
      <c r="E219" s="37" t="s">
        <v>270</v>
      </c>
      <c r="F219" s="36" t="s">
        <v>391</v>
      </c>
      <c r="G219" s="37" t="s">
        <v>494</v>
      </c>
      <c r="H219" s="36" t="s">
        <v>702</v>
      </c>
      <c r="I219" s="38">
        <v>0</v>
      </c>
      <c r="J219" s="38">
        <v>0</v>
      </c>
      <c r="K219" s="38">
        <v>0</v>
      </c>
      <c r="L219" s="38">
        <v>30000000</v>
      </c>
      <c r="M219" s="38">
        <v>30000000</v>
      </c>
      <c r="N219" s="38">
        <v>0</v>
      </c>
      <c r="O219" s="38">
        <v>0</v>
      </c>
      <c r="P219" s="38">
        <v>0</v>
      </c>
      <c r="Q219" s="38">
        <v>0</v>
      </c>
      <c r="R219" s="38">
        <v>0</v>
      </c>
      <c r="S219" s="38">
        <v>0</v>
      </c>
      <c r="T219" s="38">
        <v>0</v>
      </c>
      <c r="U219" s="39"/>
      <c r="V219" s="84"/>
      <c r="W219" s="17"/>
      <c r="X219" s="17"/>
      <c r="Y219" s="15"/>
      <c r="Z219" s="17">
        <v>2025</v>
      </c>
      <c r="AA219" s="17" t="s">
        <v>833</v>
      </c>
      <c r="AB219" s="81">
        <v>2025</v>
      </c>
      <c r="AC219" s="16" t="s">
        <v>716</v>
      </c>
      <c r="AD219" s="16" t="s">
        <v>849</v>
      </c>
      <c r="AE219" s="16" t="s">
        <v>716</v>
      </c>
      <c r="AF219" s="16" t="str">
        <f>_xlfn.CONCAT(EjecucionHaciendaDiciembre[[#This Row],[NOMBRE_RUBRO]]," - ",EjecucionHaciendaDiciembre[[#This Row],[NOMBRE_RECURSO]])</f>
        <v>Servicios para la comunidad, sociales y personales - 1.2.1.0.00 - INGRESOS CORRIENTES DE LIBRE DESTINACION</v>
      </c>
      <c r="AH219" s="1"/>
      <c r="AI219" s="1"/>
      <c r="AJ219" s="1"/>
      <c r="AK219" s="1"/>
      <c r="AL219" s="1"/>
      <c r="AM219" s="1"/>
    </row>
    <row r="220" spans="1:39" ht="43.2" x14ac:dyDescent="0.3">
      <c r="A220" s="3" t="s">
        <v>99</v>
      </c>
      <c r="B220" s="3" t="s">
        <v>165</v>
      </c>
      <c r="C220" s="2" t="s">
        <v>215</v>
      </c>
      <c r="D220" s="2" t="s">
        <v>291</v>
      </c>
      <c r="E220" s="2" t="s">
        <v>270</v>
      </c>
      <c r="F220" s="3" t="s">
        <v>391</v>
      </c>
      <c r="G220" s="2" t="s">
        <v>495</v>
      </c>
      <c r="H220" s="3" t="s">
        <v>703</v>
      </c>
      <c r="I220" s="4">
        <v>0</v>
      </c>
      <c r="J220" s="4">
        <v>0</v>
      </c>
      <c r="K220" s="4">
        <v>0</v>
      </c>
      <c r="L220" s="4">
        <v>43223450</v>
      </c>
      <c r="M220" s="4">
        <v>0</v>
      </c>
      <c r="N220" s="4">
        <v>43223450</v>
      </c>
      <c r="O220" s="4">
        <v>43223450</v>
      </c>
      <c r="P220" s="4">
        <v>43223450</v>
      </c>
      <c r="Q220" s="4">
        <v>43206290</v>
      </c>
      <c r="R220" s="4">
        <v>0</v>
      </c>
      <c r="S220" s="4">
        <v>0</v>
      </c>
      <c r="T220" s="4">
        <v>0</v>
      </c>
      <c r="U220" s="23" t="s">
        <v>764</v>
      </c>
      <c r="V220" s="31">
        <v>450200100</v>
      </c>
      <c r="W220" s="17" t="s">
        <v>789</v>
      </c>
      <c r="X220" s="17" t="s">
        <v>817</v>
      </c>
      <c r="Y220" s="15" t="s">
        <v>779</v>
      </c>
      <c r="Z220" s="17">
        <v>2024</v>
      </c>
      <c r="AA220" s="17" t="s">
        <v>716</v>
      </c>
      <c r="AB220" s="81">
        <v>2024</v>
      </c>
      <c r="AC220" s="16" t="s">
        <v>716</v>
      </c>
      <c r="AD220" s="16" t="s">
        <v>849</v>
      </c>
      <c r="AE220" s="16" t="s">
        <v>855</v>
      </c>
      <c r="AF220" s="16" t="str">
        <f>_xlfn.CONCAT(EjecucionHaciendaDiciembre[[#This Row],[NOMBRE_RUBRO]]," - ",EjecucionHaciendaDiciembre[[#This Row],[NOMBRE_RECURSO]])</f>
        <v>Servicios para la comunidad, sociales y personales - 1.2.1.0.00 - INGRESOS CORRIENTES DE LIBRE DESTINACION</v>
      </c>
      <c r="AH220" s="1"/>
      <c r="AI220" s="1"/>
      <c r="AJ220" s="1"/>
      <c r="AK220" s="1"/>
      <c r="AL220" s="1"/>
      <c r="AM220" s="1"/>
    </row>
    <row r="221" spans="1:39" ht="43.2" x14ac:dyDescent="0.3">
      <c r="A221" s="3" t="s">
        <v>99</v>
      </c>
      <c r="B221" s="3" t="s">
        <v>165</v>
      </c>
      <c r="C221" s="2" t="s">
        <v>215</v>
      </c>
      <c r="D221" s="2" t="s">
        <v>291</v>
      </c>
      <c r="E221" s="2" t="s">
        <v>270</v>
      </c>
      <c r="F221" s="3" t="s">
        <v>391</v>
      </c>
      <c r="G221" s="2" t="s">
        <v>496</v>
      </c>
      <c r="H221" s="3" t="s">
        <v>704</v>
      </c>
      <c r="I221" s="4">
        <v>0</v>
      </c>
      <c r="J221" s="4">
        <v>0</v>
      </c>
      <c r="K221" s="4">
        <v>0</v>
      </c>
      <c r="L221" s="4">
        <v>84500000</v>
      </c>
      <c r="M221" s="4">
        <v>0</v>
      </c>
      <c r="N221" s="4">
        <v>84500000</v>
      </c>
      <c r="O221" s="4">
        <v>84500000</v>
      </c>
      <c r="P221" s="4">
        <v>84500000</v>
      </c>
      <c r="Q221" s="4">
        <v>83844783</v>
      </c>
      <c r="R221" s="4">
        <v>0</v>
      </c>
      <c r="S221" s="4">
        <v>0</v>
      </c>
      <c r="T221" s="4">
        <v>0</v>
      </c>
      <c r="U221" s="23" t="s">
        <v>764</v>
      </c>
      <c r="V221" s="24">
        <v>450200100</v>
      </c>
      <c r="W221" s="17" t="s">
        <v>822</v>
      </c>
      <c r="X221" s="17" t="s">
        <v>759</v>
      </c>
      <c r="Y221" s="15" t="s">
        <v>781</v>
      </c>
      <c r="Z221" s="17">
        <v>2025</v>
      </c>
      <c r="AA221" s="17" t="s">
        <v>716</v>
      </c>
      <c r="AB221" s="81">
        <v>2025</v>
      </c>
      <c r="AC221" s="16" t="s">
        <v>716</v>
      </c>
      <c r="AD221" s="16" t="s">
        <v>849</v>
      </c>
      <c r="AE221" s="16" t="s">
        <v>855</v>
      </c>
      <c r="AF221" s="16" t="str">
        <f>_xlfn.CONCAT(EjecucionHaciendaDiciembre[[#This Row],[NOMBRE_RUBRO]]," - ",EjecucionHaciendaDiciembre[[#This Row],[NOMBRE_RECURSO]])</f>
        <v>Servicios para la comunidad, sociales y personales - 1.2.1.0.00 - INGRESOS CORRIENTES DE LIBRE DESTINACION</v>
      </c>
      <c r="AH221" s="1"/>
      <c r="AI221" s="1"/>
      <c r="AJ221" s="1"/>
      <c r="AK221" s="1"/>
      <c r="AL221" s="1"/>
      <c r="AM221" s="1"/>
    </row>
    <row r="222" spans="1:39" ht="43.2" x14ac:dyDescent="0.3">
      <c r="A222" s="32" t="s">
        <v>99</v>
      </c>
      <c r="B222" s="32" t="s">
        <v>165</v>
      </c>
      <c r="C222" s="33" t="s">
        <v>215</v>
      </c>
      <c r="D222" s="33" t="s">
        <v>291</v>
      </c>
      <c r="E222" s="33" t="s">
        <v>376</v>
      </c>
      <c r="F222" s="32" t="s">
        <v>392</v>
      </c>
      <c r="G222" s="33" t="s">
        <v>399</v>
      </c>
      <c r="H222" s="32"/>
      <c r="I222" s="34">
        <v>250000000</v>
      </c>
      <c r="J222" s="34">
        <v>0</v>
      </c>
      <c r="K222" s="34">
        <v>0</v>
      </c>
      <c r="L222" s="34">
        <v>0</v>
      </c>
      <c r="M222" s="34">
        <v>0</v>
      </c>
      <c r="N222" s="34">
        <v>250000000</v>
      </c>
      <c r="O222" s="34">
        <v>0</v>
      </c>
      <c r="P222" s="34">
        <v>0</v>
      </c>
      <c r="Q222" s="34">
        <v>0</v>
      </c>
      <c r="R222" s="34">
        <v>0</v>
      </c>
      <c r="S222" s="34">
        <v>0</v>
      </c>
      <c r="T222" s="34">
        <v>250000000</v>
      </c>
      <c r="U222" s="35"/>
      <c r="V222" s="85"/>
      <c r="W222" s="17"/>
      <c r="X222" s="17" t="s">
        <v>716</v>
      </c>
      <c r="Y222" s="15"/>
      <c r="Z222" s="17"/>
      <c r="AA222" s="17" t="s">
        <v>716</v>
      </c>
      <c r="AB222" s="81"/>
      <c r="AC222" s="16" t="s">
        <v>716</v>
      </c>
      <c r="AD222" s="16" t="s">
        <v>849</v>
      </c>
      <c r="AE222" s="16" t="s">
        <v>855</v>
      </c>
      <c r="AF222" s="16" t="str">
        <f>_xlfn.CONCAT(EjecucionHaciendaDiciembre[[#This Row],[NOMBRE_RUBRO]]," - ",EjecucionHaciendaDiciembre[[#This Row],[NOMBRE_RECURSO]])</f>
        <v>Servicios para la comunidad, sociales y personales - 1.2.1.0.00 - INGRESOS CORRIENTES DE LIBRE DESTINACION</v>
      </c>
      <c r="AH222" s="1"/>
      <c r="AI222" s="1"/>
      <c r="AJ222" s="1"/>
      <c r="AK222" s="1"/>
      <c r="AL222" s="1"/>
      <c r="AM222" s="1"/>
    </row>
    <row r="223" spans="1:39" ht="100.8" x14ac:dyDescent="0.3">
      <c r="A223" s="3" t="s">
        <v>99</v>
      </c>
      <c r="B223" s="3" t="s">
        <v>165</v>
      </c>
      <c r="C223" s="2" t="s">
        <v>215</v>
      </c>
      <c r="D223" s="2" t="s">
        <v>291</v>
      </c>
      <c r="E223" s="2" t="s">
        <v>376</v>
      </c>
      <c r="F223" s="3" t="s">
        <v>392</v>
      </c>
      <c r="G223" s="2" t="s">
        <v>497</v>
      </c>
      <c r="H223" s="3" t="s">
        <v>708</v>
      </c>
      <c r="I223" s="4">
        <v>0</v>
      </c>
      <c r="J223" s="4">
        <v>0</v>
      </c>
      <c r="K223" s="4">
        <v>0</v>
      </c>
      <c r="L223" s="4">
        <v>82234463.930000007</v>
      </c>
      <c r="M223" s="4">
        <v>0</v>
      </c>
      <c r="N223" s="4">
        <v>82234463.930000007</v>
      </c>
      <c r="O223" s="4">
        <v>82234463.930000007</v>
      </c>
      <c r="P223" s="4">
        <v>82234463.930000007</v>
      </c>
      <c r="Q223" s="4">
        <v>79939301</v>
      </c>
      <c r="R223" s="4">
        <v>0</v>
      </c>
      <c r="S223" s="4">
        <v>0</v>
      </c>
      <c r="T223" s="4">
        <v>0</v>
      </c>
      <c r="U223" s="23" t="s">
        <v>765</v>
      </c>
      <c r="V223" s="31">
        <v>450203900</v>
      </c>
      <c r="W223" s="17" t="s">
        <v>815</v>
      </c>
      <c r="X223" s="17" t="s">
        <v>760</v>
      </c>
      <c r="Y223" s="15" t="s">
        <v>781</v>
      </c>
      <c r="Z223" s="17">
        <v>2025</v>
      </c>
      <c r="AA223" s="17" t="s">
        <v>716</v>
      </c>
      <c r="AB223" s="81">
        <v>2025</v>
      </c>
      <c r="AC223" s="16" t="s">
        <v>716</v>
      </c>
      <c r="AD223" s="16" t="s">
        <v>849</v>
      </c>
      <c r="AE223" s="16" t="s">
        <v>879</v>
      </c>
      <c r="AF223" s="16" t="str">
        <f>_xlfn.CONCAT(EjecucionHaciendaDiciembre[[#This Row],[NOMBRE_RUBRO]]," - ",EjecucionHaciendaDiciembre[[#This Row],[NOMBRE_RECURSO]])</f>
        <v>Servicios para la comunidad, sociales y personales - 1.2.1.0.00 - INGRESOS CORRIENTES DE LIBRE DESTINACION</v>
      </c>
      <c r="AH223" s="1"/>
      <c r="AI223" s="1"/>
      <c r="AJ223" s="1"/>
      <c r="AK223" s="1"/>
      <c r="AL223" s="1"/>
      <c r="AM223" s="1"/>
    </row>
    <row r="224" spans="1:39" ht="72" x14ac:dyDescent="0.3">
      <c r="A224" s="3" t="s">
        <v>99</v>
      </c>
      <c r="B224" s="3" t="s">
        <v>165</v>
      </c>
      <c r="C224" s="2" t="s">
        <v>215</v>
      </c>
      <c r="D224" s="2" t="s">
        <v>291</v>
      </c>
      <c r="E224" s="2" t="s">
        <v>376</v>
      </c>
      <c r="F224" s="3" t="s">
        <v>392</v>
      </c>
      <c r="G224" s="2" t="s">
        <v>498</v>
      </c>
      <c r="H224" s="3" t="s">
        <v>766</v>
      </c>
      <c r="I224" s="4">
        <v>0</v>
      </c>
      <c r="J224" s="4">
        <v>0</v>
      </c>
      <c r="K224" s="4">
        <v>0</v>
      </c>
      <c r="L224" s="4">
        <v>287868246</v>
      </c>
      <c r="M224" s="4">
        <v>0</v>
      </c>
      <c r="N224" s="4">
        <v>287868246</v>
      </c>
      <c r="O224" s="4">
        <v>287868246</v>
      </c>
      <c r="P224" s="4">
        <v>287868246</v>
      </c>
      <c r="Q224" s="4">
        <v>287868246</v>
      </c>
      <c r="R224" s="4">
        <v>0</v>
      </c>
      <c r="S224" s="4">
        <v>0</v>
      </c>
      <c r="T224" s="4">
        <v>0</v>
      </c>
      <c r="U224" s="23" t="s">
        <v>767</v>
      </c>
      <c r="V224" s="31">
        <v>450202400</v>
      </c>
      <c r="W224" s="17" t="s">
        <v>815</v>
      </c>
      <c r="X224" s="17" t="s">
        <v>760</v>
      </c>
      <c r="Y224" s="15" t="s">
        <v>781</v>
      </c>
      <c r="Z224" s="17">
        <v>2025</v>
      </c>
      <c r="AA224" s="17" t="s">
        <v>716</v>
      </c>
      <c r="AB224" s="81">
        <v>2025</v>
      </c>
      <c r="AC224" s="16" t="s">
        <v>716</v>
      </c>
      <c r="AD224" s="16" t="s">
        <v>849</v>
      </c>
      <c r="AE224" s="16" t="s">
        <v>855</v>
      </c>
      <c r="AF224" s="16" t="str">
        <f>_xlfn.CONCAT(EjecucionHaciendaDiciembre[[#This Row],[NOMBRE_RUBRO]]," - ",EjecucionHaciendaDiciembre[[#This Row],[NOMBRE_RECURSO]])</f>
        <v>Servicios para la comunidad, sociales y personales - 1.2.1.0.00 - INGRESOS CORRIENTES DE LIBRE DESTINACION</v>
      </c>
      <c r="AH224" s="1"/>
      <c r="AI224" s="1"/>
      <c r="AJ224" s="1"/>
      <c r="AK224" s="1"/>
      <c r="AL224" s="1"/>
      <c r="AM224" s="1"/>
    </row>
    <row r="225" spans="1:39" ht="57.6" x14ac:dyDescent="0.3">
      <c r="A225" s="3" t="s">
        <v>99</v>
      </c>
      <c r="B225" s="3" t="s">
        <v>165</v>
      </c>
      <c r="C225" s="2" t="s">
        <v>215</v>
      </c>
      <c r="D225" s="2" t="s">
        <v>291</v>
      </c>
      <c r="E225" s="2" t="s">
        <v>229</v>
      </c>
      <c r="F225" s="3" t="s">
        <v>393</v>
      </c>
      <c r="G225" s="2" t="s">
        <v>399</v>
      </c>
      <c r="H225" s="3"/>
      <c r="I225" s="4">
        <v>1500000000</v>
      </c>
      <c r="J225" s="4">
        <v>0</v>
      </c>
      <c r="K225" s="4">
        <v>0</v>
      </c>
      <c r="L225" s="4">
        <v>704179027.61000001</v>
      </c>
      <c r="M225" s="4">
        <v>0</v>
      </c>
      <c r="N225" s="4">
        <v>2204179027.6100001</v>
      </c>
      <c r="O225" s="4">
        <v>2202752408.3000002</v>
      </c>
      <c r="P225" s="4">
        <v>2202752408.3000002</v>
      </c>
      <c r="Q225" s="4">
        <v>2200999808.3000002</v>
      </c>
      <c r="R225" s="4">
        <v>1806031688.3</v>
      </c>
      <c r="S225" s="4">
        <v>1580818773.0999999</v>
      </c>
      <c r="T225" s="4">
        <v>1426619.31</v>
      </c>
      <c r="U225" s="23"/>
      <c r="V225" s="24"/>
      <c r="W225" s="17" t="s">
        <v>803</v>
      </c>
      <c r="X225" s="17" t="s">
        <v>716</v>
      </c>
      <c r="Y225" s="15" t="s">
        <v>779</v>
      </c>
      <c r="Z225" s="17"/>
      <c r="AA225" s="17" t="s">
        <v>833</v>
      </c>
      <c r="AB225" s="81"/>
      <c r="AC225" s="16" t="s">
        <v>716</v>
      </c>
      <c r="AD225" s="16" t="s">
        <v>849</v>
      </c>
      <c r="AE225" s="16" t="s">
        <v>855</v>
      </c>
      <c r="AF225" s="16" t="str">
        <f>_xlfn.CONCAT(EjecucionHaciendaDiciembre[[#This Row],[NOMBRE_RUBRO]]," - ",EjecucionHaciendaDiciembre[[#This Row],[NOMBRE_RECURSO]])</f>
        <v>Servicios para la comunidad, sociales y personales - 1.2.1.0.00 - INGRESOS CORRIENTES DE LIBRE DESTINACION</v>
      </c>
      <c r="AH225" s="1"/>
      <c r="AI225" s="1"/>
      <c r="AJ225" s="1"/>
      <c r="AK225" s="1"/>
      <c r="AL225" s="1"/>
      <c r="AM225" s="1"/>
    </row>
    <row r="226" spans="1:39" ht="43.2" x14ac:dyDescent="0.3">
      <c r="A226" s="32" t="s">
        <v>99</v>
      </c>
      <c r="B226" s="32" t="s">
        <v>165</v>
      </c>
      <c r="C226" s="33" t="s">
        <v>224</v>
      </c>
      <c r="D226" s="33" t="s">
        <v>300</v>
      </c>
      <c r="E226" s="33" t="s">
        <v>19</v>
      </c>
      <c r="F226" s="32" t="s">
        <v>381</v>
      </c>
      <c r="G226" s="33" t="s">
        <v>399</v>
      </c>
      <c r="H226" s="32"/>
      <c r="I226" s="34">
        <v>1154053072</v>
      </c>
      <c r="J226" s="34">
        <v>0</v>
      </c>
      <c r="K226" s="34">
        <v>0</v>
      </c>
      <c r="L226" s="34">
        <v>0</v>
      </c>
      <c r="M226" s="34">
        <v>877217623</v>
      </c>
      <c r="N226" s="34">
        <v>276835449</v>
      </c>
      <c r="O226" s="34">
        <v>0</v>
      </c>
      <c r="P226" s="34">
        <v>0</v>
      </c>
      <c r="Q226" s="34">
        <v>0</v>
      </c>
      <c r="R226" s="34">
        <v>0</v>
      </c>
      <c r="S226" s="34">
        <v>0</v>
      </c>
      <c r="T226" s="34">
        <v>276835449</v>
      </c>
      <c r="U226" s="35"/>
      <c r="V226" s="85"/>
      <c r="W226" s="17"/>
      <c r="X226" s="17" t="s">
        <v>716</v>
      </c>
      <c r="Y226" s="15"/>
      <c r="Z226" s="17"/>
      <c r="AA226" s="17" t="s">
        <v>716</v>
      </c>
      <c r="AB226" s="81"/>
      <c r="AC226" s="16" t="s">
        <v>716</v>
      </c>
      <c r="AD226" s="16" t="s">
        <v>847</v>
      </c>
      <c r="AE226" s="16" t="s">
        <v>855</v>
      </c>
      <c r="AF226" s="16" t="str">
        <f>_xlfn.CONCAT(EjecucionHaciendaDiciembre[[#This Row],[NOMBRE_RUBRO]]," - ",EjecucionHaciendaDiciembre[[#This Row],[NOMBRE_RECURSO]])</f>
        <v>Servicios para la comunidad, sociales y personales - 1.2.4.1.01 - SGP-EDUCACION-PRESTACION DE SERVICIOS</v>
      </c>
      <c r="AH226" s="1"/>
      <c r="AI226" s="1"/>
      <c r="AJ226" s="1"/>
      <c r="AK226" s="1"/>
      <c r="AL226" s="1"/>
      <c r="AM226" s="1"/>
    </row>
    <row r="227" spans="1:39" ht="82.95" customHeight="1" x14ac:dyDescent="0.3">
      <c r="A227" s="3" t="s">
        <v>99</v>
      </c>
      <c r="B227" s="3" t="s">
        <v>165</v>
      </c>
      <c r="C227" s="2" t="s">
        <v>224</v>
      </c>
      <c r="D227" s="2" t="s">
        <v>300</v>
      </c>
      <c r="E227" s="2" t="s">
        <v>19</v>
      </c>
      <c r="F227" s="3" t="s">
        <v>381</v>
      </c>
      <c r="G227" s="2" t="s">
        <v>499</v>
      </c>
      <c r="H227" s="3" t="s">
        <v>555</v>
      </c>
      <c r="I227" s="4">
        <v>1457365096</v>
      </c>
      <c r="J227" s="4">
        <v>0</v>
      </c>
      <c r="K227" s="4">
        <v>0</v>
      </c>
      <c r="L227" s="4">
        <v>156717623</v>
      </c>
      <c r="M227" s="4">
        <v>0</v>
      </c>
      <c r="N227" s="4">
        <v>1614082719</v>
      </c>
      <c r="O227" s="4">
        <v>1614039016</v>
      </c>
      <c r="P227" s="4">
        <v>1614039016</v>
      </c>
      <c r="Q227" s="4">
        <v>1614039016</v>
      </c>
      <c r="R227" s="4">
        <v>1614039016</v>
      </c>
      <c r="S227" s="4">
        <v>1614039016</v>
      </c>
      <c r="T227" s="4">
        <v>43703</v>
      </c>
      <c r="U227" s="23" t="s">
        <v>826</v>
      </c>
      <c r="V227" s="24">
        <v>220104700</v>
      </c>
      <c r="W227" s="17" t="s">
        <v>789</v>
      </c>
      <c r="X227" s="17" t="s">
        <v>748</v>
      </c>
      <c r="Y227" s="15" t="s">
        <v>779</v>
      </c>
      <c r="Z227" s="17">
        <v>2024</v>
      </c>
      <c r="AA227" s="17" t="s">
        <v>716</v>
      </c>
      <c r="AB227" s="81">
        <v>2024</v>
      </c>
      <c r="AC227" s="16" t="s">
        <v>716</v>
      </c>
      <c r="AD227" s="16" t="s">
        <v>847</v>
      </c>
      <c r="AE227" s="16" t="s">
        <v>868</v>
      </c>
      <c r="AF227" s="16" t="str">
        <f>_xlfn.CONCAT(EjecucionHaciendaDiciembre[[#This Row],[NOMBRE_RUBRO]]," - ",EjecucionHaciendaDiciembre[[#This Row],[NOMBRE_RECURSO]])</f>
        <v>Servicios para la comunidad, sociales y personales - 1.2.4.1.01 - SGP-EDUCACION-PRESTACION DE SERVICIOS</v>
      </c>
      <c r="AH227" s="1"/>
      <c r="AI227" s="1"/>
      <c r="AJ227" s="1"/>
      <c r="AK227" s="1"/>
      <c r="AL227" s="1"/>
      <c r="AM227" s="1"/>
    </row>
    <row r="228" spans="1:39" ht="115.2" x14ac:dyDescent="0.3">
      <c r="A228" s="3" t="s">
        <v>99</v>
      </c>
      <c r="B228" s="3" t="s">
        <v>165</v>
      </c>
      <c r="C228" s="2" t="s">
        <v>224</v>
      </c>
      <c r="D228" s="2" t="s">
        <v>300</v>
      </c>
      <c r="E228" s="2" t="s">
        <v>19</v>
      </c>
      <c r="F228" s="3" t="s">
        <v>381</v>
      </c>
      <c r="G228" s="2" t="s">
        <v>500</v>
      </c>
      <c r="H228" s="3" t="s">
        <v>556</v>
      </c>
      <c r="I228" s="4">
        <v>769000000</v>
      </c>
      <c r="J228" s="4">
        <v>0</v>
      </c>
      <c r="K228" s="4">
        <v>0</v>
      </c>
      <c r="L228" s="4">
        <v>0</v>
      </c>
      <c r="M228" s="4">
        <v>0</v>
      </c>
      <c r="N228" s="4">
        <v>769000000</v>
      </c>
      <c r="O228" s="4">
        <v>751600000</v>
      </c>
      <c r="P228" s="4">
        <v>751600000</v>
      </c>
      <c r="Q228" s="4">
        <v>751600000</v>
      </c>
      <c r="R228" s="4">
        <v>751503333</v>
      </c>
      <c r="S228" s="4">
        <v>629603333</v>
      </c>
      <c r="T228" s="4">
        <v>17400000</v>
      </c>
      <c r="U228" s="23" t="s">
        <v>768</v>
      </c>
      <c r="V228" s="31">
        <v>220104800</v>
      </c>
      <c r="W228" s="17" t="s">
        <v>789</v>
      </c>
      <c r="X228" s="17" t="s">
        <v>748</v>
      </c>
      <c r="Y228" s="15" t="s">
        <v>779</v>
      </c>
      <c r="Z228" s="17">
        <v>2024</v>
      </c>
      <c r="AA228" s="17" t="s">
        <v>716</v>
      </c>
      <c r="AB228" s="81">
        <v>2024</v>
      </c>
      <c r="AC228" s="16" t="s">
        <v>716</v>
      </c>
      <c r="AD228" s="16" t="s">
        <v>847</v>
      </c>
      <c r="AE228" s="16" t="s">
        <v>868</v>
      </c>
      <c r="AF228" s="16" t="str">
        <f>_xlfn.CONCAT(EjecucionHaciendaDiciembre[[#This Row],[NOMBRE_RUBRO]]," - ",EjecucionHaciendaDiciembre[[#This Row],[NOMBRE_RECURSO]])</f>
        <v>Servicios para la comunidad, sociales y personales - 1.2.4.1.01 - SGP-EDUCACION-PRESTACION DE SERVICIOS</v>
      </c>
      <c r="AH228" s="1"/>
      <c r="AI228" s="1"/>
      <c r="AJ228" s="1"/>
      <c r="AK228" s="1"/>
      <c r="AL228" s="1"/>
      <c r="AM228" s="1"/>
    </row>
    <row r="229" spans="1:39" ht="72" x14ac:dyDescent="0.3">
      <c r="A229" s="3" t="s">
        <v>99</v>
      </c>
      <c r="B229" s="3" t="s">
        <v>165</v>
      </c>
      <c r="C229" s="2" t="s">
        <v>224</v>
      </c>
      <c r="D229" s="2" t="s">
        <v>300</v>
      </c>
      <c r="E229" s="2" t="s">
        <v>19</v>
      </c>
      <c r="F229" s="3" t="s">
        <v>381</v>
      </c>
      <c r="G229" s="2" t="s">
        <v>501</v>
      </c>
      <c r="H229" s="3" t="s">
        <v>557</v>
      </c>
      <c r="I229" s="4">
        <v>1932149515</v>
      </c>
      <c r="J229" s="4">
        <v>0</v>
      </c>
      <c r="K229" s="4">
        <v>0</v>
      </c>
      <c r="L229" s="4">
        <v>0</v>
      </c>
      <c r="M229" s="4">
        <v>0</v>
      </c>
      <c r="N229" s="4">
        <v>1932149515</v>
      </c>
      <c r="O229" s="4">
        <v>1275600349.3299999</v>
      </c>
      <c r="P229" s="4">
        <v>1275600349.3299999</v>
      </c>
      <c r="Q229" s="4">
        <v>1275600349.3299999</v>
      </c>
      <c r="R229" s="4">
        <v>977444638</v>
      </c>
      <c r="S229" s="4">
        <v>977444638</v>
      </c>
      <c r="T229" s="4">
        <v>656549165.66999996</v>
      </c>
      <c r="U229" s="23" t="s">
        <v>769</v>
      </c>
      <c r="V229" s="31">
        <v>220105000</v>
      </c>
      <c r="W229" s="17" t="s">
        <v>789</v>
      </c>
      <c r="X229" s="17" t="s">
        <v>748</v>
      </c>
      <c r="Y229" s="15" t="s">
        <v>779</v>
      </c>
      <c r="Z229" s="17">
        <v>2024</v>
      </c>
      <c r="AA229" s="17" t="s">
        <v>716</v>
      </c>
      <c r="AB229" s="81">
        <v>2024</v>
      </c>
      <c r="AC229" s="16" t="s">
        <v>716</v>
      </c>
      <c r="AD229" s="16" t="s">
        <v>847</v>
      </c>
      <c r="AE229" s="16" t="s">
        <v>880</v>
      </c>
      <c r="AF229" s="16" t="str">
        <f>_xlfn.CONCAT(EjecucionHaciendaDiciembre[[#This Row],[NOMBRE_RUBRO]]," - ",EjecucionHaciendaDiciembre[[#This Row],[NOMBRE_RECURSO]])</f>
        <v>Servicios para la comunidad, sociales y personales - 1.2.4.1.01 - SGP-EDUCACION-PRESTACION DE SERVICIOS</v>
      </c>
      <c r="AH229" s="1"/>
      <c r="AI229" s="1"/>
      <c r="AJ229" s="1"/>
      <c r="AK229" s="1"/>
      <c r="AL229" s="1"/>
      <c r="AM229" s="1"/>
    </row>
    <row r="230" spans="1:39" ht="115.2" x14ac:dyDescent="0.3">
      <c r="A230" s="25" t="s">
        <v>99</v>
      </c>
      <c r="B230" s="25" t="s">
        <v>165</v>
      </c>
      <c r="C230" s="26" t="s">
        <v>224</v>
      </c>
      <c r="D230" s="26" t="s">
        <v>300</v>
      </c>
      <c r="E230" s="26" t="s">
        <v>19</v>
      </c>
      <c r="F230" s="25" t="s">
        <v>381</v>
      </c>
      <c r="G230" s="26" t="s">
        <v>502</v>
      </c>
      <c r="H230" s="25" t="s">
        <v>558</v>
      </c>
      <c r="I230" s="27">
        <v>0</v>
      </c>
      <c r="J230" s="27">
        <v>0</v>
      </c>
      <c r="K230" s="27">
        <v>0</v>
      </c>
      <c r="L230" s="27">
        <v>720500000</v>
      </c>
      <c r="M230" s="27">
        <v>0</v>
      </c>
      <c r="N230" s="27">
        <v>720500000</v>
      </c>
      <c r="O230" s="27">
        <v>0</v>
      </c>
      <c r="P230" s="27">
        <v>0</v>
      </c>
      <c r="Q230" s="27">
        <v>0</v>
      </c>
      <c r="R230" s="27">
        <v>0</v>
      </c>
      <c r="S230" s="27">
        <v>0</v>
      </c>
      <c r="T230" s="27">
        <v>720500000</v>
      </c>
      <c r="U230" s="28"/>
      <c r="V230" s="53">
        <v>220107400</v>
      </c>
      <c r="W230" s="17" t="s">
        <v>724</v>
      </c>
      <c r="X230" s="17" t="s">
        <v>716</v>
      </c>
      <c r="Y230" s="15"/>
      <c r="Z230" s="17"/>
      <c r="AA230" s="17" t="s">
        <v>716</v>
      </c>
      <c r="AB230" s="81"/>
      <c r="AC230" s="16" t="s">
        <v>716</v>
      </c>
      <c r="AD230" s="16" t="s">
        <v>847</v>
      </c>
      <c r="AE230" s="16" t="s">
        <v>881</v>
      </c>
      <c r="AF230" s="16" t="str">
        <f>_xlfn.CONCAT(EjecucionHaciendaDiciembre[[#This Row],[NOMBRE_RUBRO]]," - ",EjecucionHaciendaDiciembre[[#This Row],[NOMBRE_RECURSO]])</f>
        <v>Servicios para la comunidad, sociales y personales - 1.2.4.1.01 - SGP-EDUCACION-PRESTACION DE SERVICIOS</v>
      </c>
      <c r="AH230" s="1"/>
      <c r="AI230" s="1"/>
      <c r="AJ230" s="1"/>
      <c r="AK230" s="1"/>
      <c r="AL230" s="1"/>
      <c r="AM230" s="1"/>
    </row>
    <row r="231" spans="1:39" ht="101.4" customHeight="1" x14ac:dyDescent="0.3">
      <c r="A231" s="3" t="s">
        <v>99</v>
      </c>
      <c r="B231" s="3" t="s">
        <v>165</v>
      </c>
      <c r="C231" s="2" t="s">
        <v>224</v>
      </c>
      <c r="D231" s="2" t="s">
        <v>300</v>
      </c>
      <c r="E231" s="2" t="s">
        <v>19</v>
      </c>
      <c r="F231" s="3" t="s">
        <v>381</v>
      </c>
      <c r="G231" s="2" t="s">
        <v>503</v>
      </c>
      <c r="H231" s="3" t="s">
        <v>559</v>
      </c>
      <c r="I231" s="4">
        <v>300078667</v>
      </c>
      <c r="J231" s="4">
        <v>0</v>
      </c>
      <c r="K231" s="4">
        <v>0</v>
      </c>
      <c r="L231" s="4">
        <v>0</v>
      </c>
      <c r="M231" s="4">
        <v>0</v>
      </c>
      <c r="N231" s="4">
        <v>300078667</v>
      </c>
      <c r="O231" s="4">
        <v>300078632</v>
      </c>
      <c r="P231" s="4">
        <v>300078632</v>
      </c>
      <c r="Q231" s="4">
        <v>300078632</v>
      </c>
      <c r="R231" s="4">
        <v>300078632</v>
      </c>
      <c r="S231" s="4">
        <v>300078632</v>
      </c>
      <c r="T231" s="4">
        <v>35</v>
      </c>
      <c r="U231" s="23" t="s">
        <v>770</v>
      </c>
      <c r="V231" s="31">
        <v>220104900</v>
      </c>
      <c r="W231" s="17" t="s">
        <v>789</v>
      </c>
      <c r="X231" s="17" t="s">
        <v>748</v>
      </c>
      <c r="Y231" s="15" t="s">
        <v>779</v>
      </c>
      <c r="Z231" s="17">
        <v>2024</v>
      </c>
      <c r="AA231" s="17" t="s">
        <v>716</v>
      </c>
      <c r="AB231" s="81">
        <v>2024</v>
      </c>
      <c r="AC231" s="16" t="s">
        <v>716</v>
      </c>
      <c r="AD231" s="16" t="s">
        <v>847</v>
      </c>
      <c r="AE231" s="16" t="s">
        <v>882</v>
      </c>
      <c r="AF231" s="16" t="str">
        <f>_xlfn.CONCAT(EjecucionHaciendaDiciembre[[#This Row],[NOMBRE_RUBRO]]," - ",EjecucionHaciendaDiciembre[[#This Row],[NOMBRE_RECURSO]])</f>
        <v>Servicios para la comunidad, sociales y personales - 1.2.4.1.01 - SGP-EDUCACION-PRESTACION DE SERVICIOS</v>
      </c>
      <c r="AH231" s="1"/>
      <c r="AI231" s="1"/>
      <c r="AJ231" s="1"/>
      <c r="AK231" s="1"/>
      <c r="AL231" s="1"/>
      <c r="AM231" s="1"/>
    </row>
    <row r="232" spans="1:39" ht="115.2" x14ac:dyDescent="0.3">
      <c r="A232" s="3" t="s">
        <v>99</v>
      </c>
      <c r="B232" s="3" t="s">
        <v>165</v>
      </c>
      <c r="C232" s="2" t="s">
        <v>224</v>
      </c>
      <c r="D232" s="2" t="s">
        <v>300</v>
      </c>
      <c r="E232" s="2" t="s">
        <v>19</v>
      </c>
      <c r="F232" s="3" t="s">
        <v>381</v>
      </c>
      <c r="G232" s="2" t="s">
        <v>504</v>
      </c>
      <c r="H232" s="3" t="s">
        <v>560</v>
      </c>
      <c r="I232" s="4">
        <v>0</v>
      </c>
      <c r="J232" s="4">
        <v>84238000</v>
      </c>
      <c r="K232" s="4">
        <v>0</v>
      </c>
      <c r="L232" s="4">
        <v>0</v>
      </c>
      <c r="M232" s="4">
        <v>0</v>
      </c>
      <c r="N232" s="4">
        <v>84238000</v>
      </c>
      <c r="O232" s="4">
        <v>72238000</v>
      </c>
      <c r="P232" s="4">
        <v>72238000</v>
      </c>
      <c r="Q232" s="4">
        <v>72238000</v>
      </c>
      <c r="R232" s="4">
        <v>72238000</v>
      </c>
      <c r="S232" s="4">
        <v>72238000</v>
      </c>
      <c r="T232" s="4">
        <v>12000000</v>
      </c>
      <c r="U232" s="23" t="s">
        <v>771</v>
      </c>
      <c r="V232" s="31">
        <v>220100200</v>
      </c>
      <c r="W232" s="17" t="s">
        <v>789</v>
      </c>
      <c r="X232" s="17" t="s">
        <v>748</v>
      </c>
      <c r="Y232" s="15" t="s">
        <v>779</v>
      </c>
      <c r="Z232" s="17">
        <v>2024</v>
      </c>
      <c r="AA232" s="17" t="s">
        <v>716</v>
      </c>
      <c r="AB232" s="81">
        <v>2024</v>
      </c>
      <c r="AC232" s="16" t="s">
        <v>716</v>
      </c>
      <c r="AD232" s="16" t="s">
        <v>847</v>
      </c>
      <c r="AE232" s="16" t="s">
        <v>868</v>
      </c>
      <c r="AF232" s="16" t="str">
        <f>_xlfn.CONCAT(EjecucionHaciendaDiciembre[[#This Row],[NOMBRE_RUBRO]]," - ",EjecucionHaciendaDiciembre[[#This Row],[NOMBRE_RECURSO]])</f>
        <v>Servicios para la comunidad, sociales y personales - 1.2.4.1.01 - SGP-EDUCACION-PRESTACION DE SERVICIOS</v>
      </c>
      <c r="AH232" s="1"/>
      <c r="AI232" s="1"/>
      <c r="AJ232" s="1"/>
      <c r="AK232" s="1"/>
      <c r="AL232" s="1"/>
      <c r="AM232" s="1"/>
    </row>
    <row r="233" spans="1:39" ht="57.6" x14ac:dyDescent="0.3">
      <c r="A233" s="3" t="s">
        <v>99</v>
      </c>
      <c r="B233" s="3" t="s">
        <v>165</v>
      </c>
      <c r="C233" s="2" t="s">
        <v>224</v>
      </c>
      <c r="D233" s="2" t="s">
        <v>300</v>
      </c>
      <c r="E233" s="2" t="s">
        <v>19</v>
      </c>
      <c r="F233" s="3" t="s">
        <v>381</v>
      </c>
      <c r="G233" s="2" t="s">
        <v>505</v>
      </c>
      <c r="H233" s="3" t="s">
        <v>561</v>
      </c>
      <c r="I233" s="4">
        <v>0</v>
      </c>
      <c r="J233" s="4">
        <v>211362000</v>
      </c>
      <c r="K233" s="4">
        <v>0</v>
      </c>
      <c r="L233" s="4">
        <v>0</v>
      </c>
      <c r="M233" s="4">
        <v>0</v>
      </c>
      <c r="N233" s="4">
        <v>211362000</v>
      </c>
      <c r="O233" s="4">
        <v>198711000</v>
      </c>
      <c r="P233" s="4">
        <v>198711000</v>
      </c>
      <c r="Q233" s="4">
        <v>198711000</v>
      </c>
      <c r="R233" s="4">
        <v>198711000</v>
      </c>
      <c r="S233" s="4">
        <v>198711000</v>
      </c>
      <c r="T233" s="4">
        <v>12651000</v>
      </c>
      <c r="U233" s="23" t="s">
        <v>771</v>
      </c>
      <c r="V233" s="31">
        <v>220100200</v>
      </c>
      <c r="W233" s="17" t="s">
        <v>789</v>
      </c>
      <c r="X233" s="17" t="s">
        <v>748</v>
      </c>
      <c r="Y233" s="15" t="s">
        <v>779</v>
      </c>
      <c r="Z233" s="17">
        <v>2024</v>
      </c>
      <c r="AA233" s="17" t="s">
        <v>716</v>
      </c>
      <c r="AB233" s="81">
        <v>2024</v>
      </c>
      <c r="AC233" s="16" t="s">
        <v>716</v>
      </c>
      <c r="AD233" s="16" t="s">
        <v>847</v>
      </c>
      <c r="AE233" s="16" t="s">
        <v>883</v>
      </c>
      <c r="AF233" s="16" t="str">
        <f>_xlfn.CONCAT(EjecucionHaciendaDiciembre[[#This Row],[NOMBRE_RUBRO]]," - ",EjecucionHaciendaDiciembre[[#This Row],[NOMBRE_RECURSO]])</f>
        <v>Servicios para la comunidad, sociales y personales - 1.2.4.1.01 - SGP-EDUCACION-PRESTACION DE SERVICIOS</v>
      </c>
      <c r="AH233" s="1"/>
      <c r="AI233" s="1"/>
      <c r="AJ233" s="1"/>
      <c r="AK233" s="1"/>
      <c r="AL233" s="1"/>
      <c r="AM233" s="1"/>
    </row>
    <row r="234" spans="1:39" ht="115.2" x14ac:dyDescent="0.3">
      <c r="A234" s="3" t="s">
        <v>99</v>
      </c>
      <c r="B234" s="3" t="s">
        <v>165</v>
      </c>
      <c r="C234" s="2" t="s">
        <v>224</v>
      </c>
      <c r="D234" s="2" t="s">
        <v>300</v>
      </c>
      <c r="E234" s="2" t="s">
        <v>19</v>
      </c>
      <c r="F234" s="3" t="s">
        <v>381</v>
      </c>
      <c r="G234" s="2" t="s">
        <v>506</v>
      </c>
      <c r="H234" s="3" t="s">
        <v>562</v>
      </c>
      <c r="I234" s="4">
        <v>0</v>
      </c>
      <c r="J234" s="4">
        <v>430460888</v>
      </c>
      <c r="K234" s="4">
        <v>0</v>
      </c>
      <c r="L234" s="4">
        <v>0</v>
      </c>
      <c r="M234" s="4">
        <v>0</v>
      </c>
      <c r="N234" s="4">
        <v>430460888</v>
      </c>
      <c r="O234" s="4">
        <v>424080348</v>
      </c>
      <c r="P234" s="4">
        <v>424080348</v>
      </c>
      <c r="Q234" s="4">
        <v>424080348</v>
      </c>
      <c r="R234" s="4">
        <v>424080348</v>
      </c>
      <c r="S234" s="4">
        <v>424080348</v>
      </c>
      <c r="T234" s="4">
        <v>6380540</v>
      </c>
      <c r="U234" s="23" t="s">
        <v>770</v>
      </c>
      <c r="V234" s="31">
        <v>220104900</v>
      </c>
      <c r="W234" s="17" t="s">
        <v>789</v>
      </c>
      <c r="X234" s="17" t="s">
        <v>817</v>
      </c>
      <c r="Y234" s="15" t="s">
        <v>779</v>
      </c>
      <c r="Z234" s="17" t="s">
        <v>780</v>
      </c>
      <c r="AA234" s="17" t="s">
        <v>833</v>
      </c>
      <c r="AB234" s="81" t="s">
        <v>780</v>
      </c>
      <c r="AC234" s="16" t="s">
        <v>716</v>
      </c>
      <c r="AD234" s="16" t="s">
        <v>847</v>
      </c>
      <c r="AE234" s="16" t="s">
        <v>881</v>
      </c>
      <c r="AF234" s="16" t="str">
        <f>_xlfn.CONCAT(EjecucionHaciendaDiciembre[[#This Row],[NOMBRE_RUBRO]]," - ",EjecucionHaciendaDiciembre[[#This Row],[NOMBRE_RECURSO]])</f>
        <v>Servicios para la comunidad, sociales y personales - 1.2.4.1.01 - SGP-EDUCACION-PRESTACION DE SERVICIOS</v>
      </c>
      <c r="AH234" s="1"/>
      <c r="AI234" s="1"/>
      <c r="AJ234" s="1"/>
      <c r="AK234" s="1"/>
      <c r="AL234" s="1"/>
      <c r="AM234" s="1"/>
    </row>
    <row r="235" spans="1:39" ht="28.8" x14ac:dyDescent="0.3">
      <c r="A235" s="36" t="s">
        <v>99</v>
      </c>
      <c r="B235" s="36" t="s">
        <v>165</v>
      </c>
      <c r="C235" s="37" t="s">
        <v>238</v>
      </c>
      <c r="D235" s="37" t="s">
        <v>314</v>
      </c>
      <c r="E235" s="37" t="s">
        <v>224</v>
      </c>
      <c r="F235" s="36" t="s">
        <v>378</v>
      </c>
      <c r="G235" s="37" t="s">
        <v>399</v>
      </c>
      <c r="H235" s="36"/>
      <c r="I235" s="38">
        <v>3825557937.3000002</v>
      </c>
      <c r="J235" s="38">
        <v>0</v>
      </c>
      <c r="K235" s="38">
        <v>0</v>
      </c>
      <c r="L235" s="38">
        <v>0</v>
      </c>
      <c r="M235" s="38">
        <v>3825557937.3000002</v>
      </c>
      <c r="N235" s="38">
        <v>0</v>
      </c>
      <c r="O235" s="38">
        <v>0</v>
      </c>
      <c r="P235" s="38">
        <v>0</v>
      </c>
      <c r="Q235" s="38">
        <v>0</v>
      </c>
      <c r="R235" s="38">
        <v>0</v>
      </c>
      <c r="S235" s="38">
        <v>0</v>
      </c>
      <c r="T235" s="38">
        <v>0</v>
      </c>
      <c r="U235" s="39"/>
      <c r="V235" s="84"/>
      <c r="W235" s="17"/>
      <c r="X235" s="17" t="s">
        <v>716</v>
      </c>
      <c r="Y235" s="15"/>
      <c r="Z235" s="17"/>
      <c r="AA235" s="17" t="s">
        <v>716</v>
      </c>
      <c r="AB235" s="81"/>
      <c r="AC235" s="16" t="s">
        <v>716</v>
      </c>
      <c r="AD235" s="16" t="s">
        <v>850</v>
      </c>
      <c r="AE235" s="16" t="s">
        <v>855</v>
      </c>
      <c r="AF235" s="16" t="str">
        <f>_xlfn.CONCAT(EjecucionHaciendaDiciembre[[#This Row],[NOMBRE_RUBRO]]," - ",EjecucionHaciendaDiciembre[[#This Row],[NOMBRE_RECURSO]])</f>
        <v>Servicios para la comunidad, sociales y personales - 1.2.4.2.02 - SGP-SALUD-SALUD PUBLICA</v>
      </c>
      <c r="AH235" s="1"/>
      <c r="AI235" s="1"/>
      <c r="AJ235" s="1"/>
      <c r="AK235" s="1"/>
      <c r="AL235" s="1"/>
      <c r="AM235" s="1"/>
    </row>
    <row r="236" spans="1:39" ht="43.2" x14ac:dyDescent="0.3">
      <c r="A236" s="3" t="s">
        <v>99</v>
      </c>
      <c r="B236" s="3" t="s">
        <v>165</v>
      </c>
      <c r="C236" s="2" t="s">
        <v>238</v>
      </c>
      <c r="D236" s="2" t="s">
        <v>314</v>
      </c>
      <c r="E236" s="2" t="s">
        <v>224</v>
      </c>
      <c r="F236" s="3" t="s">
        <v>378</v>
      </c>
      <c r="G236" s="2" t="s">
        <v>444</v>
      </c>
      <c r="H236" s="3" t="s">
        <v>578</v>
      </c>
      <c r="I236" s="4">
        <v>80143571</v>
      </c>
      <c r="J236" s="4">
        <v>0</v>
      </c>
      <c r="K236" s="4">
        <v>0</v>
      </c>
      <c r="L236" s="4">
        <v>0</v>
      </c>
      <c r="M236" s="4">
        <v>0</v>
      </c>
      <c r="N236" s="4">
        <v>80143571</v>
      </c>
      <c r="O236" s="4">
        <v>80143571</v>
      </c>
      <c r="P236" s="4">
        <v>80143571</v>
      </c>
      <c r="Q236" s="4">
        <v>68908641</v>
      </c>
      <c r="R236" s="4">
        <v>68908641</v>
      </c>
      <c r="S236" s="4">
        <v>68908641</v>
      </c>
      <c r="T236" s="4">
        <v>0</v>
      </c>
      <c r="U236" s="23" t="s">
        <v>579</v>
      </c>
      <c r="V236" s="31">
        <v>190502500</v>
      </c>
      <c r="W236" s="17"/>
      <c r="X236" s="17" t="s">
        <v>750</v>
      </c>
      <c r="Y236" s="15" t="s">
        <v>779</v>
      </c>
      <c r="Z236" s="17">
        <v>2024</v>
      </c>
      <c r="AA236" s="17" t="s">
        <v>716</v>
      </c>
      <c r="AB236" s="81">
        <v>2024</v>
      </c>
      <c r="AC236" s="16" t="s">
        <v>716</v>
      </c>
      <c r="AD236" s="16" t="s">
        <v>850</v>
      </c>
      <c r="AE236" s="16" t="s">
        <v>855</v>
      </c>
      <c r="AF236" s="16" t="str">
        <f>_xlfn.CONCAT(EjecucionHaciendaDiciembre[[#This Row],[NOMBRE_RUBRO]]," - ",EjecucionHaciendaDiciembre[[#This Row],[NOMBRE_RECURSO]])</f>
        <v>Servicios para la comunidad, sociales y personales - 1.2.4.2.02 - SGP-SALUD-SALUD PUBLICA</v>
      </c>
      <c r="AH236" s="1"/>
      <c r="AI236" s="1"/>
      <c r="AJ236" s="1"/>
      <c r="AK236" s="1"/>
      <c r="AL236" s="1"/>
      <c r="AM236" s="1"/>
    </row>
    <row r="237" spans="1:39" ht="115.2" x14ac:dyDescent="0.3">
      <c r="A237" s="3" t="s">
        <v>99</v>
      </c>
      <c r="B237" s="3" t="s">
        <v>165</v>
      </c>
      <c r="C237" s="2" t="s">
        <v>238</v>
      </c>
      <c r="D237" s="2" t="s">
        <v>314</v>
      </c>
      <c r="E237" s="2" t="s">
        <v>224</v>
      </c>
      <c r="F237" s="3" t="s">
        <v>378</v>
      </c>
      <c r="G237" s="2" t="s">
        <v>445</v>
      </c>
      <c r="H237" s="3" t="s">
        <v>580</v>
      </c>
      <c r="I237" s="4">
        <v>118821260</v>
      </c>
      <c r="J237" s="4">
        <v>0</v>
      </c>
      <c r="K237" s="4">
        <v>0</v>
      </c>
      <c r="L237" s="4">
        <v>0</v>
      </c>
      <c r="M237" s="4">
        <v>0</v>
      </c>
      <c r="N237" s="4">
        <v>118821260</v>
      </c>
      <c r="O237" s="4">
        <v>118821260</v>
      </c>
      <c r="P237" s="4">
        <v>118821260</v>
      </c>
      <c r="Q237" s="4">
        <v>118821260</v>
      </c>
      <c r="R237" s="4">
        <v>118821260</v>
      </c>
      <c r="S237" s="4">
        <v>118821260</v>
      </c>
      <c r="T237" s="4">
        <v>0</v>
      </c>
      <c r="U237" s="23" t="s">
        <v>581</v>
      </c>
      <c r="V237" s="31">
        <v>190502600</v>
      </c>
      <c r="W237" s="17"/>
      <c r="X237" s="17" t="s">
        <v>750</v>
      </c>
      <c r="Y237" s="15" t="s">
        <v>779</v>
      </c>
      <c r="Z237" s="17">
        <v>2024</v>
      </c>
      <c r="AA237" s="17" t="s">
        <v>716</v>
      </c>
      <c r="AB237" s="81">
        <v>2024</v>
      </c>
      <c r="AC237" s="16" t="s">
        <v>716</v>
      </c>
      <c r="AD237" s="16" t="s">
        <v>850</v>
      </c>
      <c r="AE237" s="16" t="s">
        <v>865</v>
      </c>
      <c r="AF237" s="16" t="str">
        <f>_xlfn.CONCAT(EjecucionHaciendaDiciembre[[#This Row],[NOMBRE_RUBRO]]," - ",EjecucionHaciendaDiciembre[[#This Row],[NOMBRE_RECURSO]])</f>
        <v>Servicios para la comunidad, sociales y personales - 1.2.4.2.02 - SGP-SALUD-SALUD PUBLICA</v>
      </c>
      <c r="AH237" s="1"/>
      <c r="AI237" s="1"/>
      <c r="AJ237" s="1"/>
      <c r="AK237" s="1"/>
      <c r="AL237" s="1"/>
      <c r="AM237" s="1"/>
    </row>
    <row r="238" spans="1:39" ht="115.2" x14ac:dyDescent="0.3">
      <c r="A238" s="3" t="s">
        <v>99</v>
      </c>
      <c r="B238" s="3" t="s">
        <v>165</v>
      </c>
      <c r="C238" s="2" t="s">
        <v>238</v>
      </c>
      <c r="D238" s="2" t="s">
        <v>314</v>
      </c>
      <c r="E238" s="2" t="s">
        <v>224</v>
      </c>
      <c r="F238" s="3" t="s">
        <v>378</v>
      </c>
      <c r="G238" s="2" t="s">
        <v>446</v>
      </c>
      <c r="H238" s="3" t="s">
        <v>582</v>
      </c>
      <c r="I238" s="4">
        <v>179357282</v>
      </c>
      <c r="J238" s="4">
        <v>0</v>
      </c>
      <c r="K238" s="4">
        <v>0</v>
      </c>
      <c r="L238" s="4">
        <v>0</v>
      </c>
      <c r="M238" s="4">
        <v>0</v>
      </c>
      <c r="N238" s="4">
        <v>179357282</v>
      </c>
      <c r="O238" s="4">
        <v>179357282</v>
      </c>
      <c r="P238" s="4">
        <v>179357282</v>
      </c>
      <c r="Q238" s="4">
        <v>172836990</v>
      </c>
      <c r="R238" s="4">
        <v>157814645</v>
      </c>
      <c r="S238" s="4">
        <v>157814645</v>
      </c>
      <c r="T238" s="4">
        <v>0</v>
      </c>
      <c r="U238" s="23" t="s">
        <v>583</v>
      </c>
      <c r="V238" s="31">
        <v>190502800</v>
      </c>
      <c r="W238" s="17"/>
      <c r="X238" s="17" t="s">
        <v>750</v>
      </c>
      <c r="Y238" s="15" t="s">
        <v>779</v>
      </c>
      <c r="Z238" s="17">
        <v>2024</v>
      </c>
      <c r="AA238" s="17" t="s">
        <v>716</v>
      </c>
      <c r="AB238" s="81">
        <v>2024</v>
      </c>
      <c r="AC238" s="16" t="s">
        <v>716</v>
      </c>
      <c r="AD238" s="16" t="s">
        <v>850</v>
      </c>
      <c r="AE238" s="16" t="s">
        <v>865</v>
      </c>
      <c r="AF238" s="16" t="str">
        <f>_xlfn.CONCAT(EjecucionHaciendaDiciembre[[#This Row],[NOMBRE_RUBRO]]," - ",EjecucionHaciendaDiciembre[[#This Row],[NOMBRE_RECURSO]])</f>
        <v>Servicios para la comunidad, sociales y personales - 1.2.4.2.02 - SGP-SALUD-SALUD PUBLICA</v>
      </c>
      <c r="AH238" s="1"/>
      <c r="AI238" s="1"/>
      <c r="AJ238" s="1"/>
      <c r="AK238" s="1"/>
      <c r="AL238" s="1"/>
      <c r="AM238" s="1"/>
    </row>
    <row r="239" spans="1:39" ht="57" customHeight="1" x14ac:dyDescent="0.3">
      <c r="A239" s="3" t="s">
        <v>99</v>
      </c>
      <c r="B239" s="3" t="s">
        <v>165</v>
      </c>
      <c r="C239" s="2" t="s">
        <v>238</v>
      </c>
      <c r="D239" s="2" t="s">
        <v>314</v>
      </c>
      <c r="E239" s="2" t="s">
        <v>224</v>
      </c>
      <c r="F239" s="3" t="s">
        <v>378</v>
      </c>
      <c r="G239" s="2" t="s">
        <v>447</v>
      </c>
      <c r="H239" s="3" t="s">
        <v>584</v>
      </c>
      <c r="I239" s="4">
        <v>264970395</v>
      </c>
      <c r="J239" s="4">
        <v>0</v>
      </c>
      <c r="K239" s="4">
        <v>0</v>
      </c>
      <c r="L239" s="4">
        <v>0</v>
      </c>
      <c r="M239" s="4">
        <v>0</v>
      </c>
      <c r="N239" s="4">
        <v>264970395</v>
      </c>
      <c r="O239" s="4">
        <v>264970395</v>
      </c>
      <c r="P239" s="4">
        <v>264970395</v>
      </c>
      <c r="Q239" s="4">
        <v>238760860</v>
      </c>
      <c r="R239" s="4">
        <v>238760859</v>
      </c>
      <c r="S239" s="4">
        <v>238760859</v>
      </c>
      <c r="T239" s="4">
        <v>0</v>
      </c>
      <c r="U239" s="23" t="s">
        <v>581</v>
      </c>
      <c r="V239" s="31">
        <v>190502600</v>
      </c>
      <c r="W239" s="17"/>
      <c r="X239" s="17" t="s">
        <v>750</v>
      </c>
      <c r="Y239" s="15" t="s">
        <v>779</v>
      </c>
      <c r="Z239" s="17">
        <v>2024</v>
      </c>
      <c r="AA239" s="17" t="s">
        <v>716</v>
      </c>
      <c r="AB239" s="81">
        <v>2024</v>
      </c>
      <c r="AC239" s="16" t="s">
        <v>716</v>
      </c>
      <c r="AD239" s="16" t="s">
        <v>850</v>
      </c>
      <c r="AE239" s="16" t="s">
        <v>865</v>
      </c>
      <c r="AF239" s="16" t="str">
        <f>_xlfn.CONCAT(EjecucionHaciendaDiciembre[[#This Row],[NOMBRE_RUBRO]]," - ",EjecucionHaciendaDiciembre[[#This Row],[NOMBRE_RECURSO]])</f>
        <v>Servicios para la comunidad, sociales y personales - 1.2.4.2.02 - SGP-SALUD-SALUD PUBLICA</v>
      </c>
      <c r="AH239" s="1"/>
      <c r="AI239" s="1"/>
      <c r="AJ239" s="1"/>
      <c r="AK239" s="1"/>
      <c r="AL239" s="1"/>
      <c r="AM239" s="1"/>
    </row>
    <row r="240" spans="1:39" ht="57.6" x14ac:dyDescent="0.3">
      <c r="A240" s="3" t="s">
        <v>99</v>
      </c>
      <c r="B240" s="3" t="s">
        <v>165</v>
      </c>
      <c r="C240" s="2" t="s">
        <v>238</v>
      </c>
      <c r="D240" s="2" t="s">
        <v>314</v>
      </c>
      <c r="E240" s="2" t="s">
        <v>224</v>
      </c>
      <c r="F240" s="3" t="s">
        <v>378</v>
      </c>
      <c r="G240" s="2" t="s">
        <v>448</v>
      </c>
      <c r="H240" s="3" t="s">
        <v>585</v>
      </c>
      <c r="I240" s="4">
        <v>187938450</v>
      </c>
      <c r="J240" s="4">
        <v>0</v>
      </c>
      <c r="K240" s="4">
        <v>0</v>
      </c>
      <c r="L240" s="4">
        <v>0</v>
      </c>
      <c r="M240" s="4">
        <v>0</v>
      </c>
      <c r="N240" s="4">
        <v>187938450</v>
      </c>
      <c r="O240" s="4">
        <v>187938450</v>
      </c>
      <c r="P240" s="4">
        <v>187938450</v>
      </c>
      <c r="Q240" s="4">
        <v>187938450</v>
      </c>
      <c r="R240" s="4">
        <v>186851735</v>
      </c>
      <c r="S240" s="4">
        <v>186851735</v>
      </c>
      <c r="T240" s="4">
        <v>0</v>
      </c>
      <c r="U240" s="23" t="s">
        <v>586</v>
      </c>
      <c r="V240" s="31">
        <v>190502200</v>
      </c>
      <c r="W240" s="17"/>
      <c r="X240" s="17" t="s">
        <v>750</v>
      </c>
      <c r="Y240" s="15" t="s">
        <v>779</v>
      </c>
      <c r="Z240" s="17">
        <v>2024</v>
      </c>
      <c r="AA240" s="17" t="s">
        <v>716</v>
      </c>
      <c r="AB240" s="81">
        <v>2024</v>
      </c>
      <c r="AC240" s="16" t="s">
        <v>716</v>
      </c>
      <c r="AD240" s="16" t="s">
        <v>850</v>
      </c>
      <c r="AE240" s="16" t="s">
        <v>855</v>
      </c>
      <c r="AF240" s="16" t="str">
        <f>_xlfn.CONCAT(EjecucionHaciendaDiciembre[[#This Row],[NOMBRE_RUBRO]]," - ",EjecucionHaciendaDiciembre[[#This Row],[NOMBRE_RECURSO]])</f>
        <v>Servicios para la comunidad, sociales y personales - 1.2.4.2.02 - SGP-SALUD-SALUD PUBLICA</v>
      </c>
      <c r="AH240" s="1"/>
      <c r="AI240" s="1"/>
      <c r="AJ240" s="1"/>
      <c r="AK240" s="1"/>
      <c r="AL240" s="1"/>
      <c r="AM240" s="1"/>
    </row>
    <row r="241" spans="1:39" ht="115.2" x14ac:dyDescent="0.3">
      <c r="A241" s="3" t="s">
        <v>99</v>
      </c>
      <c r="B241" s="3" t="s">
        <v>165</v>
      </c>
      <c r="C241" s="2" t="s">
        <v>238</v>
      </c>
      <c r="D241" s="2" t="s">
        <v>314</v>
      </c>
      <c r="E241" s="2" t="s">
        <v>224</v>
      </c>
      <c r="F241" s="3" t="s">
        <v>378</v>
      </c>
      <c r="G241" s="2" t="s">
        <v>449</v>
      </c>
      <c r="H241" s="3" t="s">
        <v>587</v>
      </c>
      <c r="I241" s="4">
        <v>280372556</v>
      </c>
      <c r="J241" s="4">
        <v>0</v>
      </c>
      <c r="K241" s="4">
        <v>0</v>
      </c>
      <c r="L241" s="4">
        <v>0</v>
      </c>
      <c r="M241" s="4">
        <v>0</v>
      </c>
      <c r="N241" s="4">
        <v>280372556</v>
      </c>
      <c r="O241" s="4">
        <v>280372556</v>
      </c>
      <c r="P241" s="4">
        <v>280372556</v>
      </c>
      <c r="Q241" s="4">
        <v>280372556</v>
      </c>
      <c r="R241" s="4">
        <v>272982891</v>
      </c>
      <c r="S241" s="4">
        <v>270592118</v>
      </c>
      <c r="T241" s="4">
        <v>0</v>
      </c>
      <c r="U241" s="23" t="s">
        <v>588</v>
      </c>
      <c r="V241" s="31">
        <v>190503100</v>
      </c>
      <c r="W241" s="17" t="s">
        <v>789</v>
      </c>
      <c r="X241" s="17" t="s">
        <v>750</v>
      </c>
      <c r="Y241" s="15" t="s">
        <v>779</v>
      </c>
      <c r="Z241" s="17">
        <v>2024</v>
      </c>
      <c r="AA241" s="17" t="s">
        <v>716</v>
      </c>
      <c r="AB241" s="81">
        <v>2024</v>
      </c>
      <c r="AC241" s="16" t="s">
        <v>716</v>
      </c>
      <c r="AD241" s="16" t="s">
        <v>850</v>
      </c>
      <c r="AE241" s="16" t="s">
        <v>865</v>
      </c>
      <c r="AF241" s="16" t="str">
        <f>_xlfn.CONCAT(EjecucionHaciendaDiciembre[[#This Row],[NOMBRE_RUBRO]]," - ",EjecucionHaciendaDiciembre[[#This Row],[NOMBRE_RECURSO]])</f>
        <v>Servicios para la comunidad, sociales y personales - 1.2.4.2.02 - SGP-SALUD-SALUD PUBLICA</v>
      </c>
      <c r="AH241" s="1"/>
      <c r="AI241" s="1"/>
      <c r="AJ241" s="1"/>
      <c r="AK241" s="1"/>
      <c r="AL241" s="1"/>
      <c r="AM241" s="1"/>
    </row>
    <row r="242" spans="1:39" ht="115.2" x14ac:dyDescent="0.3">
      <c r="A242" s="3" t="s">
        <v>99</v>
      </c>
      <c r="B242" s="3" t="s">
        <v>165</v>
      </c>
      <c r="C242" s="2" t="s">
        <v>238</v>
      </c>
      <c r="D242" s="2" t="s">
        <v>314</v>
      </c>
      <c r="E242" s="2" t="s">
        <v>224</v>
      </c>
      <c r="F242" s="3" t="s">
        <v>378</v>
      </c>
      <c r="G242" s="2" t="s">
        <v>450</v>
      </c>
      <c r="H242" s="3" t="s">
        <v>589</v>
      </c>
      <c r="I242" s="4">
        <v>168383934</v>
      </c>
      <c r="J242" s="4">
        <v>0</v>
      </c>
      <c r="K242" s="4">
        <v>0</v>
      </c>
      <c r="L242" s="4">
        <v>0</v>
      </c>
      <c r="M242" s="4">
        <v>0</v>
      </c>
      <c r="N242" s="4">
        <v>168383934</v>
      </c>
      <c r="O242" s="4">
        <v>168383934</v>
      </c>
      <c r="P242" s="4">
        <v>168383934</v>
      </c>
      <c r="Q242" s="4">
        <v>168383934</v>
      </c>
      <c r="R242" s="4">
        <v>152083204</v>
      </c>
      <c r="S242" s="4">
        <v>152083204</v>
      </c>
      <c r="T242" s="4">
        <v>0</v>
      </c>
      <c r="U242" s="23" t="s">
        <v>575</v>
      </c>
      <c r="V242" s="31">
        <v>190504300</v>
      </c>
      <c r="W242" s="17" t="s">
        <v>811</v>
      </c>
      <c r="X242" s="17" t="s">
        <v>750</v>
      </c>
      <c r="Y242" s="15" t="s">
        <v>779</v>
      </c>
      <c r="Z242" s="17">
        <v>2024</v>
      </c>
      <c r="AA242" s="17" t="s">
        <v>716</v>
      </c>
      <c r="AB242" s="81">
        <v>2024</v>
      </c>
      <c r="AC242" s="16" t="s">
        <v>716</v>
      </c>
      <c r="AD242" s="16" t="s">
        <v>850</v>
      </c>
      <c r="AE242" s="16" t="s">
        <v>865</v>
      </c>
      <c r="AF242" s="16" t="str">
        <f>_xlfn.CONCAT(EjecucionHaciendaDiciembre[[#This Row],[NOMBRE_RUBRO]]," - ",EjecucionHaciendaDiciembre[[#This Row],[NOMBRE_RECURSO]])</f>
        <v>Servicios para la comunidad, sociales y personales - 1.2.4.2.02 - SGP-SALUD-SALUD PUBLICA</v>
      </c>
      <c r="AH242" s="1"/>
      <c r="AI242" s="1"/>
      <c r="AJ242" s="1"/>
      <c r="AK242" s="1"/>
      <c r="AL242" s="1"/>
      <c r="AM242" s="1"/>
    </row>
    <row r="243" spans="1:39" ht="115.2" x14ac:dyDescent="0.3">
      <c r="A243" s="3" t="s">
        <v>99</v>
      </c>
      <c r="B243" s="3" t="s">
        <v>165</v>
      </c>
      <c r="C243" s="2" t="s">
        <v>238</v>
      </c>
      <c r="D243" s="2" t="s">
        <v>314</v>
      </c>
      <c r="E243" s="2" t="s">
        <v>224</v>
      </c>
      <c r="F243" s="3" t="s">
        <v>378</v>
      </c>
      <c r="G243" s="2" t="s">
        <v>451</v>
      </c>
      <c r="H243" s="3" t="s">
        <v>590</v>
      </c>
      <c r="I243" s="4">
        <v>155655255</v>
      </c>
      <c r="J243" s="4">
        <v>0</v>
      </c>
      <c r="K243" s="4">
        <v>0</v>
      </c>
      <c r="L243" s="4">
        <v>0</v>
      </c>
      <c r="M243" s="4">
        <v>0</v>
      </c>
      <c r="N243" s="4">
        <v>155655255</v>
      </c>
      <c r="O243" s="4">
        <v>155655255</v>
      </c>
      <c r="P243" s="4">
        <v>155655255</v>
      </c>
      <c r="Q243" s="4">
        <v>155655255</v>
      </c>
      <c r="R243" s="4">
        <v>152395109</v>
      </c>
      <c r="S243" s="4">
        <v>152395109</v>
      </c>
      <c r="T243" s="4">
        <v>0</v>
      </c>
      <c r="U243" s="23" t="s">
        <v>591</v>
      </c>
      <c r="V243" s="31">
        <v>190502100</v>
      </c>
      <c r="W243" s="17" t="s">
        <v>789</v>
      </c>
      <c r="X243" s="17" t="s">
        <v>750</v>
      </c>
      <c r="Y243" s="15" t="s">
        <v>779</v>
      </c>
      <c r="Z243" s="17">
        <v>2024</v>
      </c>
      <c r="AA243" s="17" t="s">
        <v>716</v>
      </c>
      <c r="AB243" s="81">
        <v>2024</v>
      </c>
      <c r="AC243" s="16" t="s">
        <v>716</v>
      </c>
      <c r="AD243" s="16" t="s">
        <v>850</v>
      </c>
      <c r="AE243" s="16" t="s">
        <v>865</v>
      </c>
      <c r="AF243" s="16" t="str">
        <f>_xlfn.CONCAT(EjecucionHaciendaDiciembre[[#This Row],[NOMBRE_RUBRO]]," - ",EjecucionHaciendaDiciembre[[#This Row],[NOMBRE_RECURSO]])</f>
        <v>Servicios para la comunidad, sociales y personales - 1.2.4.2.02 - SGP-SALUD-SALUD PUBLICA</v>
      </c>
      <c r="AH243" s="1"/>
      <c r="AI243" s="1"/>
      <c r="AJ243" s="1"/>
      <c r="AK243" s="1"/>
      <c r="AL243" s="1"/>
      <c r="AM243" s="1"/>
    </row>
    <row r="244" spans="1:39" ht="43.2" x14ac:dyDescent="0.3">
      <c r="A244" s="3" t="s">
        <v>99</v>
      </c>
      <c r="B244" s="3" t="s">
        <v>165</v>
      </c>
      <c r="C244" s="2" t="s">
        <v>238</v>
      </c>
      <c r="D244" s="2" t="s">
        <v>314</v>
      </c>
      <c r="E244" s="2" t="s">
        <v>224</v>
      </c>
      <c r="F244" s="3" t="s">
        <v>378</v>
      </c>
      <c r="G244" s="2" t="s">
        <v>438</v>
      </c>
      <c r="H244" s="3" t="s">
        <v>576</v>
      </c>
      <c r="I244" s="4">
        <v>493880817</v>
      </c>
      <c r="J244" s="4">
        <v>0</v>
      </c>
      <c r="K244" s="4">
        <v>0</v>
      </c>
      <c r="L244" s="4">
        <v>0</v>
      </c>
      <c r="M244" s="4">
        <v>0</v>
      </c>
      <c r="N244" s="4">
        <v>493880817</v>
      </c>
      <c r="O244" s="4">
        <v>493880817</v>
      </c>
      <c r="P244" s="4">
        <v>493880817</v>
      </c>
      <c r="Q244" s="4">
        <v>493880812</v>
      </c>
      <c r="R244" s="4">
        <v>493880812</v>
      </c>
      <c r="S244" s="4">
        <v>493880812</v>
      </c>
      <c r="T244" s="4">
        <v>0</v>
      </c>
      <c r="U244" s="23" t="s">
        <v>577</v>
      </c>
      <c r="V244" s="31">
        <v>190303500</v>
      </c>
      <c r="W244" s="17"/>
      <c r="X244" s="17" t="s">
        <v>750</v>
      </c>
      <c r="Y244" s="15" t="s">
        <v>779</v>
      </c>
      <c r="Z244" s="17">
        <v>2024</v>
      </c>
      <c r="AA244" s="17" t="s">
        <v>716</v>
      </c>
      <c r="AB244" s="81">
        <v>2024</v>
      </c>
      <c r="AC244" s="16" t="s">
        <v>716</v>
      </c>
      <c r="AD244" s="16" t="s">
        <v>850</v>
      </c>
      <c r="AE244" s="16" t="s">
        <v>855</v>
      </c>
      <c r="AF244" s="16" t="str">
        <f>_xlfn.CONCAT(EjecucionHaciendaDiciembre[[#This Row],[NOMBRE_RUBRO]]," - ",EjecucionHaciendaDiciembre[[#This Row],[NOMBRE_RECURSO]])</f>
        <v>Servicios para la comunidad, sociales y personales - 1.2.4.2.02 - SGP-SALUD-SALUD PUBLICA</v>
      </c>
      <c r="AH244" s="1"/>
      <c r="AI244" s="1"/>
      <c r="AJ244" s="1"/>
      <c r="AK244" s="1"/>
      <c r="AL244" s="1"/>
      <c r="AM244" s="1"/>
    </row>
    <row r="245" spans="1:39" ht="115.2" x14ac:dyDescent="0.3">
      <c r="A245" s="3" t="s">
        <v>99</v>
      </c>
      <c r="B245" s="3" t="s">
        <v>165</v>
      </c>
      <c r="C245" s="2" t="s">
        <v>238</v>
      </c>
      <c r="D245" s="2" t="s">
        <v>314</v>
      </c>
      <c r="E245" s="2" t="s">
        <v>224</v>
      </c>
      <c r="F245" s="3" t="s">
        <v>378</v>
      </c>
      <c r="G245" s="2" t="s">
        <v>421</v>
      </c>
      <c r="H245" s="3" t="s">
        <v>567</v>
      </c>
      <c r="I245" s="4">
        <v>2398349436</v>
      </c>
      <c r="J245" s="4">
        <v>0</v>
      </c>
      <c r="K245" s="4">
        <v>0</v>
      </c>
      <c r="L245" s="4">
        <v>0</v>
      </c>
      <c r="M245" s="4">
        <v>0</v>
      </c>
      <c r="N245" s="4">
        <v>2398349436</v>
      </c>
      <c r="O245" s="4">
        <v>2398349436</v>
      </c>
      <c r="P245" s="4">
        <v>2398349436</v>
      </c>
      <c r="Q245" s="4">
        <v>2385074607</v>
      </c>
      <c r="R245" s="4">
        <v>2338877142</v>
      </c>
      <c r="S245" s="4">
        <v>2334791616</v>
      </c>
      <c r="T245" s="4">
        <v>0</v>
      </c>
      <c r="U245" s="23" t="s">
        <v>568</v>
      </c>
      <c r="V245" s="31">
        <v>190303500</v>
      </c>
      <c r="W245" s="17"/>
      <c r="X245" s="17" t="s">
        <v>750</v>
      </c>
      <c r="Y245" s="15" t="s">
        <v>779</v>
      </c>
      <c r="Z245" s="17">
        <v>2024</v>
      </c>
      <c r="AA245" s="17" t="s">
        <v>716</v>
      </c>
      <c r="AB245" s="81">
        <v>2024</v>
      </c>
      <c r="AC245" s="16" t="s">
        <v>716</v>
      </c>
      <c r="AD245" s="16" t="s">
        <v>850</v>
      </c>
      <c r="AE245" s="16" t="s">
        <v>865</v>
      </c>
      <c r="AF245" s="16" t="str">
        <f>_xlfn.CONCAT(EjecucionHaciendaDiciembre[[#This Row],[NOMBRE_RUBRO]]," - ",EjecucionHaciendaDiciembre[[#This Row],[NOMBRE_RECURSO]])</f>
        <v>Servicios para la comunidad, sociales y personales - 1.2.4.2.02 - SGP-SALUD-SALUD PUBLICA</v>
      </c>
      <c r="AH245" s="1"/>
      <c r="AI245" s="1"/>
      <c r="AJ245" s="1"/>
      <c r="AK245" s="1"/>
      <c r="AL245" s="1"/>
      <c r="AM245" s="1"/>
    </row>
    <row r="246" spans="1:39" ht="72" x14ac:dyDescent="0.3">
      <c r="A246" s="3" t="s">
        <v>99</v>
      </c>
      <c r="B246" s="3" t="s">
        <v>165</v>
      </c>
      <c r="C246" s="2" t="s">
        <v>238</v>
      </c>
      <c r="D246" s="2" t="s">
        <v>314</v>
      </c>
      <c r="E246" s="2" t="s">
        <v>224</v>
      </c>
      <c r="F246" s="3" t="s">
        <v>378</v>
      </c>
      <c r="G246" s="2" t="s">
        <v>452</v>
      </c>
      <c r="H246" s="3" t="s">
        <v>592</v>
      </c>
      <c r="I246" s="4">
        <v>223109400</v>
      </c>
      <c r="J246" s="4">
        <v>0</v>
      </c>
      <c r="K246" s="4">
        <v>0</v>
      </c>
      <c r="L246" s="4">
        <v>0</v>
      </c>
      <c r="M246" s="4">
        <v>0</v>
      </c>
      <c r="N246" s="4">
        <v>223109400</v>
      </c>
      <c r="O246" s="4">
        <v>223109400</v>
      </c>
      <c r="P246" s="4">
        <v>223109400</v>
      </c>
      <c r="Q246" s="4">
        <v>223109400</v>
      </c>
      <c r="R246" s="4">
        <v>223109400</v>
      </c>
      <c r="S246" s="4">
        <v>223109400</v>
      </c>
      <c r="T246" s="4">
        <v>0</v>
      </c>
      <c r="U246" s="23" t="s">
        <v>593</v>
      </c>
      <c r="V246" s="31">
        <v>190502700</v>
      </c>
      <c r="W246" s="17"/>
      <c r="X246" s="17" t="s">
        <v>750</v>
      </c>
      <c r="Y246" s="15" t="s">
        <v>779</v>
      </c>
      <c r="Z246" s="17">
        <v>2024</v>
      </c>
      <c r="AA246" s="17" t="s">
        <v>716</v>
      </c>
      <c r="AB246" s="81">
        <v>2024</v>
      </c>
      <c r="AC246" s="16" t="s">
        <v>716</v>
      </c>
      <c r="AD246" s="16" t="s">
        <v>850</v>
      </c>
      <c r="AE246" s="16" t="s">
        <v>855</v>
      </c>
      <c r="AF246" s="16" t="str">
        <f>_xlfn.CONCAT(EjecucionHaciendaDiciembre[[#This Row],[NOMBRE_RUBRO]]," - ",EjecucionHaciendaDiciembre[[#This Row],[NOMBRE_RECURSO]])</f>
        <v>Servicios para la comunidad, sociales y personales - 1.2.4.2.02 - SGP-SALUD-SALUD PUBLICA</v>
      </c>
      <c r="AH246" s="1"/>
      <c r="AI246" s="1"/>
      <c r="AJ246" s="1"/>
      <c r="AK246" s="1"/>
      <c r="AL246" s="1"/>
      <c r="AM246" s="1"/>
    </row>
    <row r="247" spans="1:39" ht="43.2" x14ac:dyDescent="0.3">
      <c r="A247" s="3" t="s">
        <v>99</v>
      </c>
      <c r="B247" s="3" t="s">
        <v>165</v>
      </c>
      <c r="C247" s="2" t="s">
        <v>238</v>
      </c>
      <c r="D247" s="2" t="s">
        <v>314</v>
      </c>
      <c r="E247" s="2" t="s">
        <v>224</v>
      </c>
      <c r="F247" s="3" t="s">
        <v>378</v>
      </c>
      <c r="G247" s="2" t="s">
        <v>422</v>
      </c>
      <c r="H247" s="3" t="s">
        <v>569</v>
      </c>
      <c r="I247" s="4">
        <v>0</v>
      </c>
      <c r="J247" s="4">
        <v>0</v>
      </c>
      <c r="K247" s="4">
        <v>0</v>
      </c>
      <c r="L247" s="4">
        <v>2516117782</v>
      </c>
      <c r="M247" s="4">
        <v>0</v>
      </c>
      <c r="N247" s="4">
        <v>2516117782</v>
      </c>
      <c r="O247" s="4">
        <v>2516117782</v>
      </c>
      <c r="P247" s="4">
        <v>2516117782</v>
      </c>
      <c r="Q247" s="4">
        <v>1860996054</v>
      </c>
      <c r="R247" s="4">
        <v>1310668041.9400001</v>
      </c>
      <c r="S247" s="4">
        <v>1149985308.9400001</v>
      </c>
      <c r="T247" s="4">
        <v>0</v>
      </c>
      <c r="U247" s="23" t="s">
        <v>568</v>
      </c>
      <c r="V247" s="24">
        <v>190303500</v>
      </c>
      <c r="W247" s="17" t="s">
        <v>789</v>
      </c>
      <c r="X247" s="17" t="s">
        <v>750</v>
      </c>
      <c r="Y247" s="15" t="s">
        <v>779</v>
      </c>
      <c r="Z247" s="17">
        <v>2024</v>
      </c>
      <c r="AA247" s="17" t="s">
        <v>716</v>
      </c>
      <c r="AB247" s="81">
        <v>2024</v>
      </c>
      <c r="AC247" s="16" t="s">
        <v>716</v>
      </c>
      <c r="AD247" s="16" t="s">
        <v>850</v>
      </c>
      <c r="AE247" s="16" t="s">
        <v>855</v>
      </c>
      <c r="AF247" s="16" t="str">
        <f>_xlfn.CONCAT(EjecucionHaciendaDiciembre[[#This Row],[NOMBRE_RUBRO]]," - ",EjecucionHaciendaDiciembre[[#This Row],[NOMBRE_RECURSO]])</f>
        <v>Servicios para la comunidad, sociales y personales - 1.2.4.2.02 - SGP-SALUD-SALUD PUBLICA</v>
      </c>
      <c r="AH247" s="1"/>
      <c r="AI247" s="1"/>
      <c r="AJ247" s="1"/>
      <c r="AK247" s="1"/>
      <c r="AL247" s="1"/>
      <c r="AM247" s="1"/>
    </row>
    <row r="248" spans="1:39" ht="57.6" x14ac:dyDescent="0.3">
      <c r="A248" s="3" t="s">
        <v>99</v>
      </c>
      <c r="B248" s="3" t="s">
        <v>165</v>
      </c>
      <c r="C248" s="2" t="s">
        <v>238</v>
      </c>
      <c r="D248" s="2" t="s">
        <v>314</v>
      </c>
      <c r="E248" s="2" t="s">
        <v>224</v>
      </c>
      <c r="F248" s="3" t="s">
        <v>378</v>
      </c>
      <c r="G248" s="2" t="s">
        <v>434</v>
      </c>
      <c r="H248" s="3" t="s">
        <v>570</v>
      </c>
      <c r="I248" s="4">
        <v>0</v>
      </c>
      <c r="J248" s="4">
        <v>1814381155</v>
      </c>
      <c r="K248" s="4">
        <v>0</v>
      </c>
      <c r="L248" s="4">
        <v>20442680.800000001</v>
      </c>
      <c r="M248" s="4">
        <v>0</v>
      </c>
      <c r="N248" s="4">
        <v>1834823835.8</v>
      </c>
      <c r="O248" s="4">
        <v>1834823835.8</v>
      </c>
      <c r="P248" s="4">
        <v>1834823835.8</v>
      </c>
      <c r="Q248" s="4">
        <v>1157941336.03</v>
      </c>
      <c r="R248" s="4">
        <v>1027229192.3200001</v>
      </c>
      <c r="S248" s="4">
        <v>968401742.20000005</v>
      </c>
      <c r="T248" s="4">
        <v>0</v>
      </c>
      <c r="U248" s="23" t="s">
        <v>571</v>
      </c>
      <c r="V248" s="31">
        <v>190505000</v>
      </c>
      <c r="W248" s="17"/>
      <c r="X248" s="17" t="s">
        <v>750</v>
      </c>
      <c r="Y248" s="15" t="s">
        <v>779</v>
      </c>
      <c r="Z248" s="17">
        <v>2024</v>
      </c>
      <c r="AA248" s="17" t="s">
        <v>716</v>
      </c>
      <c r="AB248" s="81">
        <v>2024</v>
      </c>
      <c r="AC248" s="16" t="s">
        <v>716</v>
      </c>
      <c r="AD248" s="16" t="s">
        <v>850</v>
      </c>
      <c r="AE248" s="16" t="s">
        <v>855</v>
      </c>
      <c r="AF248" s="16" t="str">
        <f>_xlfn.CONCAT(EjecucionHaciendaDiciembre[[#This Row],[NOMBRE_RUBRO]]," - ",EjecucionHaciendaDiciembre[[#This Row],[NOMBRE_RECURSO]])</f>
        <v>Servicios para la comunidad, sociales y personales - 1.2.4.2.02 - SGP-SALUD-SALUD PUBLICA</v>
      </c>
      <c r="AH248" s="1"/>
      <c r="AI248" s="1"/>
      <c r="AJ248" s="1"/>
      <c r="AK248" s="1"/>
      <c r="AL248" s="1"/>
      <c r="AM248" s="1"/>
    </row>
    <row r="249" spans="1:39" ht="86.4" x14ac:dyDescent="0.3">
      <c r="A249" s="3" t="s">
        <v>99</v>
      </c>
      <c r="B249" s="3" t="s">
        <v>165</v>
      </c>
      <c r="C249" s="2" t="s">
        <v>238</v>
      </c>
      <c r="D249" s="2" t="s">
        <v>314</v>
      </c>
      <c r="E249" s="2" t="s">
        <v>224</v>
      </c>
      <c r="F249" s="3" t="s">
        <v>378</v>
      </c>
      <c r="G249" s="2" t="s">
        <v>453</v>
      </c>
      <c r="H249" s="3" t="s">
        <v>594</v>
      </c>
      <c r="I249" s="4">
        <v>0</v>
      </c>
      <c r="J249" s="4">
        <v>1954068029.5</v>
      </c>
      <c r="K249" s="4">
        <v>0</v>
      </c>
      <c r="L249" s="4">
        <v>0</v>
      </c>
      <c r="M249" s="4">
        <v>0</v>
      </c>
      <c r="N249" s="4">
        <v>1954068029.5</v>
      </c>
      <c r="O249" s="4">
        <v>1954068029.5</v>
      </c>
      <c r="P249" s="4">
        <v>1954068029.5</v>
      </c>
      <c r="Q249" s="4">
        <v>1692808815.4000001</v>
      </c>
      <c r="R249" s="4">
        <v>483320408.85000002</v>
      </c>
      <c r="S249" s="4">
        <v>483320408.85000002</v>
      </c>
      <c r="T249" s="4">
        <v>0</v>
      </c>
      <c r="U249" s="23" t="s">
        <v>595</v>
      </c>
      <c r="V249" s="31">
        <v>190505400</v>
      </c>
      <c r="W249" s="17"/>
      <c r="X249" s="17" t="s">
        <v>750</v>
      </c>
      <c r="Y249" s="15" t="s">
        <v>779</v>
      </c>
      <c r="Z249" s="17">
        <v>2024</v>
      </c>
      <c r="AA249" s="17" t="s">
        <v>716</v>
      </c>
      <c r="AB249" s="81">
        <v>2024</v>
      </c>
      <c r="AC249" s="16" t="s">
        <v>716</v>
      </c>
      <c r="AD249" s="16" t="s">
        <v>850</v>
      </c>
      <c r="AE249" s="16" t="s">
        <v>855</v>
      </c>
      <c r="AF249" s="16" t="str">
        <f>_xlfn.CONCAT(EjecucionHaciendaDiciembre[[#This Row],[NOMBRE_RUBRO]]," - ",EjecucionHaciendaDiciembre[[#This Row],[NOMBRE_RECURSO]])</f>
        <v>Servicios para la comunidad, sociales y personales - 1.2.4.2.02 - SGP-SALUD-SALUD PUBLICA</v>
      </c>
      <c r="AH249" s="1"/>
      <c r="AI249" s="1"/>
      <c r="AJ249" s="1"/>
      <c r="AK249" s="1"/>
      <c r="AL249" s="1"/>
      <c r="AM249" s="1"/>
    </row>
    <row r="250" spans="1:39" ht="28.8" x14ac:dyDescent="0.3">
      <c r="A250" s="32" t="s">
        <v>99</v>
      </c>
      <c r="B250" s="32" t="s">
        <v>165</v>
      </c>
      <c r="C250" s="33" t="s">
        <v>233</v>
      </c>
      <c r="D250" s="33" t="s">
        <v>309</v>
      </c>
      <c r="E250" s="33" t="s">
        <v>371</v>
      </c>
      <c r="F250" s="32" t="s">
        <v>385</v>
      </c>
      <c r="G250" s="33" t="s">
        <v>399</v>
      </c>
      <c r="H250" s="32"/>
      <c r="I250" s="34">
        <v>0</v>
      </c>
      <c r="J250" s="34">
        <v>681516653</v>
      </c>
      <c r="K250" s="34">
        <v>0</v>
      </c>
      <c r="L250" s="34">
        <v>0</v>
      </c>
      <c r="M250" s="34">
        <v>524519084</v>
      </c>
      <c r="N250" s="34">
        <v>156997569</v>
      </c>
      <c r="O250" s="34">
        <v>0</v>
      </c>
      <c r="P250" s="34">
        <v>0</v>
      </c>
      <c r="Q250" s="34">
        <v>0</v>
      </c>
      <c r="R250" s="34">
        <v>0</v>
      </c>
      <c r="S250" s="34">
        <v>0</v>
      </c>
      <c r="T250" s="34">
        <v>156997569</v>
      </c>
      <c r="U250" s="35"/>
      <c r="V250" s="85"/>
      <c r="W250" s="17"/>
      <c r="X250" s="17" t="s">
        <v>716</v>
      </c>
      <c r="Y250" s="15"/>
      <c r="Z250" s="17"/>
      <c r="AA250" s="17" t="s">
        <v>716</v>
      </c>
      <c r="AB250" s="81"/>
      <c r="AC250" s="16" t="s">
        <v>716</v>
      </c>
      <c r="AD250" s="16" t="s">
        <v>848</v>
      </c>
      <c r="AE250" s="16" t="s">
        <v>855</v>
      </c>
      <c r="AF250" s="16" t="str">
        <f>_xlfn.CONCAT(EjecucionHaciendaDiciembre[[#This Row],[NOMBRE_RUBRO]]," - ",EjecucionHaciendaDiciembre[[#This Row],[NOMBRE_RECURSO]])</f>
        <v>Servicios para la comunidad, sociales y personales - 1.2.3.3.03 - APORTES NACION</v>
      </c>
      <c r="AH250" s="1"/>
      <c r="AI250" s="1"/>
      <c r="AJ250" s="1"/>
      <c r="AK250" s="1"/>
      <c r="AL250" s="1"/>
      <c r="AM250" s="1"/>
    </row>
    <row r="251" spans="1:39" ht="86.4" x14ac:dyDescent="0.3">
      <c r="A251" s="3" t="s">
        <v>99</v>
      </c>
      <c r="B251" s="3" t="s">
        <v>165</v>
      </c>
      <c r="C251" s="2" t="s">
        <v>233</v>
      </c>
      <c r="D251" s="2" t="s">
        <v>309</v>
      </c>
      <c r="E251" s="2" t="s">
        <v>371</v>
      </c>
      <c r="F251" s="3" t="s">
        <v>385</v>
      </c>
      <c r="G251" s="2" t="s">
        <v>423</v>
      </c>
      <c r="H251" s="3" t="s">
        <v>623</v>
      </c>
      <c r="I251" s="4">
        <v>0</v>
      </c>
      <c r="J251" s="4">
        <v>0</v>
      </c>
      <c r="K251" s="4">
        <v>0</v>
      </c>
      <c r="L251" s="4">
        <v>214703500</v>
      </c>
      <c r="M251" s="4">
        <v>0</v>
      </c>
      <c r="N251" s="4">
        <v>214703500</v>
      </c>
      <c r="O251" s="4">
        <v>214703500</v>
      </c>
      <c r="P251" s="4">
        <v>214703500</v>
      </c>
      <c r="Q251" s="4">
        <v>151201632</v>
      </c>
      <c r="R251" s="4">
        <v>82326699</v>
      </c>
      <c r="S251" s="4">
        <v>72923366</v>
      </c>
      <c r="T251" s="4">
        <v>0</v>
      </c>
      <c r="U251" s="23" t="s">
        <v>624</v>
      </c>
      <c r="V251" s="31">
        <v>459900200</v>
      </c>
      <c r="W251" s="17" t="s">
        <v>788</v>
      </c>
      <c r="X251" s="17" t="s">
        <v>749</v>
      </c>
      <c r="Y251" s="15" t="s">
        <v>781</v>
      </c>
      <c r="Z251" s="17" t="s">
        <v>780</v>
      </c>
      <c r="AA251" s="17" t="s">
        <v>833</v>
      </c>
      <c r="AB251" s="81" t="s">
        <v>780</v>
      </c>
      <c r="AC251" s="16" t="s">
        <v>716</v>
      </c>
      <c r="AD251" s="16" t="s">
        <v>848</v>
      </c>
      <c r="AE251" s="16" t="s">
        <v>855</v>
      </c>
      <c r="AF251" s="16" t="str">
        <f>_xlfn.CONCAT(EjecucionHaciendaDiciembre[[#This Row],[NOMBRE_RUBRO]]," - ",EjecucionHaciendaDiciembre[[#This Row],[NOMBRE_RECURSO]])</f>
        <v>Servicios para la comunidad, sociales y personales - 1.2.3.3.03 - APORTES NACION</v>
      </c>
      <c r="AH251" s="1"/>
      <c r="AI251" s="1"/>
      <c r="AJ251" s="1"/>
      <c r="AK251" s="1"/>
      <c r="AL251" s="1"/>
      <c r="AM251" s="1"/>
    </row>
    <row r="252" spans="1:39" ht="72" x14ac:dyDescent="0.3">
      <c r="A252" s="3" t="s">
        <v>99</v>
      </c>
      <c r="B252" s="3" t="s">
        <v>165</v>
      </c>
      <c r="C252" s="2" t="s">
        <v>233</v>
      </c>
      <c r="D252" s="2" t="s">
        <v>309</v>
      </c>
      <c r="E252" s="2" t="s">
        <v>224</v>
      </c>
      <c r="F252" s="3" t="s">
        <v>378</v>
      </c>
      <c r="G252" s="2" t="s">
        <v>507</v>
      </c>
      <c r="H252" s="3" t="s">
        <v>598</v>
      </c>
      <c r="I252" s="4">
        <v>0</v>
      </c>
      <c r="J252" s="4">
        <v>173353047</v>
      </c>
      <c r="K252" s="4">
        <v>0</v>
      </c>
      <c r="L252" s="4">
        <v>0</v>
      </c>
      <c r="M252" s="4">
        <v>0</v>
      </c>
      <c r="N252" s="4">
        <v>173353047</v>
      </c>
      <c r="O252" s="4">
        <v>173353047</v>
      </c>
      <c r="P252" s="4">
        <v>173353047</v>
      </c>
      <c r="Q252" s="4">
        <v>173353047</v>
      </c>
      <c r="R252" s="4">
        <v>58094661</v>
      </c>
      <c r="S252" s="4">
        <v>0</v>
      </c>
      <c r="T252" s="4">
        <v>0</v>
      </c>
      <c r="U252" s="23" t="s">
        <v>772</v>
      </c>
      <c r="V252" s="31">
        <v>190504000</v>
      </c>
      <c r="W252" s="17"/>
      <c r="X252" s="17" t="s">
        <v>750</v>
      </c>
      <c r="Y252" s="15" t="s">
        <v>779</v>
      </c>
      <c r="Z252" s="17">
        <v>2024</v>
      </c>
      <c r="AA252" s="17" t="s">
        <v>716</v>
      </c>
      <c r="AB252" s="81">
        <v>2024</v>
      </c>
      <c r="AC252" s="16" t="s">
        <v>716</v>
      </c>
      <c r="AD252" s="16" t="s">
        <v>848</v>
      </c>
      <c r="AE252" s="16" t="s">
        <v>855</v>
      </c>
      <c r="AF252" s="16" t="str">
        <f>_xlfn.CONCAT(EjecucionHaciendaDiciembre[[#This Row],[NOMBRE_RUBRO]]," - ",EjecucionHaciendaDiciembre[[#This Row],[NOMBRE_RECURSO]])</f>
        <v>Servicios para la comunidad, sociales y personales - 1.2.3.3.03 - APORTES NACION</v>
      </c>
      <c r="AH252" s="1"/>
      <c r="AI252" s="1"/>
      <c r="AJ252" s="1"/>
      <c r="AK252" s="1"/>
      <c r="AL252" s="1"/>
      <c r="AM252" s="1"/>
    </row>
    <row r="253" spans="1:39" ht="128.4" customHeight="1" x14ac:dyDescent="0.3">
      <c r="A253" s="40" t="s">
        <v>99</v>
      </c>
      <c r="B253" s="40" t="s">
        <v>165</v>
      </c>
      <c r="C253" s="41" t="s">
        <v>233</v>
      </c>
      <c r="D253" s="41" t="s">
        <v>309</v>
      </c>
      <c r="E253" s="41" t="s">
        <v>224</v>
      </c>
      <c r="F253" s="40" t="s">
        <v>378</v>
      </c>
      <c r="G253" s="41" t="s">
        <v>508</v>
      </c>
      <c r="H253" s="40" t="s">
        <v>599</v>
      </c>
      <c r="I253" s="42">
        <v>0</v>
      </c>
      <c r="J253" s="42">
        <v>224681499</v>
      </c>
      <c r="K253" s="42">
        <v>0</v>
      </c>
      <c r="L253" s="42">
        <v>0</v>
      </c>
      <c r="M253" s="42">
        <v>0</v>
      </c>
      <c r="N253" s="42">
        <v>224681499</v>
      </c>
      <c r="O253" s="42">
        <v>224681499</v>
      </c>
      <c r="P253" s="43">
        <v>224681499</v>
      </c>
      <c r="Q253" s="42">
        <v>0</v>
      </c>
      <c r="R253" s="42">
        <v>0</v>
      </c>
      <c r="S253" s="42">
        <v>0</v>
      </c>
      <c r="T253" s="42">
        <v>0</v>
      </c>
      <c r="U253" s="44" t="s">
        <v>772</v>
      </c>
      <c r="V253" s="45">
        <v>190504000</v>
      </c>
      <c r="W253" s="17" t="s">
        <v>812</v>
      </c>
      <c r="X253" s="17" t="s">
        <v>750</v>
      </c>
      <c r="Y253" s="15" t="s">
        <v>781</v>
      </c>
      <c r="Z253" s="17">
        <v>2025</v>
      </c>
      <c r="AA253" s="17" t="s">
        <v>716</v>
      </c>
      <c r="AB253" s="81">
        <v>2025</v>
      </c>
      <c r="AC253" s="16" t="s">
        <v>716</v>
      </c>
      <c r="AD253" s="16" t="s">
        <v>848</v>
      </c>
      <c r="AE253" s="16" t="s">
        <v>855</v>
      </c>
      <c r="AF253" s="16" t="str">
        <f>_xlfn.CONCAT(EjecucionHaciendaDiciembre[[#This Row],[NOMBRE_RUBRO]]," - ",EjecucionHaciendaDiciembre[[#This Row],[NOMBRE_RECURSO]])</f>
        <v>Servicios para la comunidad, sociales y personales - 1.2.3.3.03 - APORTES NACION</v>
      </c>
      <c r="AH253" s="1"/>
      <c r="AI253" s="1"/>
      <c r="AJ253" s="1"/>
      <c r="AK253" s="1"/>
      <c r="AL253" s="1"/>
      <c r="AM253" s="1"/>
    </row>
    <row r="254" spans="1:39" ht="43.2" x14ac:dyDescent="0.3">
      <c r="A254" s="3" t="s">
        <v>99</v>
      </c>
      <c r="B254" s="3" t="s">
        <v>165</v>
      </c>
      <c r="C254" s="2" t="s">
        <v>233</v>
      </c>
      <c r="D254" s="2" t="s">
        <v>309</v>
      </c>
      <c r="E254" s="2" t="s">
        <v>224</v>
      </c>
      <c r="F254" s="3" t="s">
        <v>378</v>
      </c>
      <c r="G254" s="2" t="s">
        <v>454</v>
      </c>
      <c r="H254" s="3" t="s">
        <v>596</v>
      </c>
      <c r="I254" s="4">
        <v>0</v>
      </c>
      <c r="J254" s="4">
        <v>26446867.109999999</v>
      </c>
      <c r="K254" s="4">
        <v>0</v>
      </c>
      <c r="L254" s="4">
        <v>0</v>
      </c>
      <c r="M254" s="4">
        <v>0</v>
      </c>
      <c r="N254" s="4">
        <v>26446867.109999999</v>
      </c>
      <c r="O254" s="4">
        <v>26446867.109999999</v>
      </c>
      <c r="P254" s="4">
        <v>26446867.109999999</v>
      </c>
      <c r="Q254" s="4">
        <v>23834529.600000001</v>
      </c>
      <c r="R254" s="4">
        <v>0</v>
      </c>
      <c r="S254" s="4">
        <v>0</v>
      </c>
      <c r="T254" s="4">
        <v>0</v>
      </c>
      <c r="U254" s="23" t="s">
        <v>581</v>
      </c>
      <c r="V254" s="31">
        <v>190502600</v>
      </c>
      <c r="W254" s="17"/>
      <c r="X254" s="17" t="s">
        <v>750</v>
      </c>
      <c r="Y254" s="15" t="s">
        <v>779</v>
      </c>
      <c r="Z254" s="17">
        <v>2024</v>
      </c>
      <c r="AA254" s="17" t="s">
        <v>716</v>
      </c>
      <c r="AB254" s="81">
        <v>2024</v>
      </c>
      <c r="AC254" s="16" t="s">
        <v>716</v>
      </c>
      <c r="AD254" s="16" t="s">
        <v>848</v>
      </c>
      <c r="AE254" s="16" t="s">
        <v>855</v>
      </c>
      <c r="AF254" s="16" t="str">
        <f>_xlfn.CONCAT(EjecucionHaciendaDiciembre[[#This Row],[NOMBRE_RUBRO]]," - ",EjecucionHaciendaDiciembre[[#This Row],[NOMBRE_RECURSO]])</f>
        <v>Servicios para la comunidad, sociales y personales - 1.2.3.3.03 - APORTES NACION</v>
      </c>
      <c r="AH254" s="1"/>
      <c r="AI254" s="1"/>
      <c r="AJ254" s="1"/>
      <c r="AK254" s="1"/>
      <c r="AL254" s="1"/>
      <c r="AM254" s="1"/>
    </row>
    <row r="255" spans="1:39" ht="43.2" x14ac:dyDescent="0.3">
      <c r="A255" s="3" t="s">
        <v>99</v>
      </c>
      <c r="B255" s="3" t="s">
        <v>165</v>
      </c>
      <c r="C255" s="2" t="s">
        <v>233</v>
      </c>
      <c r="D255" s="2" t="s">
        <v>309</v>
      </c>
      <c r="E255" s="2" t="s">
        <v>224</v>
      </c>
      <c r="F255" s="3" t="s">
        <v>378</v>
      </c>
      <c r="G255" s="2" t="s">
        <v>435</v>
      </c>
      <c r="H255" s="3" t="s">
        <v>572</v>
      </c>
      <c r="I255" s="4">
        <v>0</v>
      </c>
      <c r="J255" s="4">
        <v>169432839.02000001</v>
      </c>
      <c r="K255" s="4">
        <v>0</v>
      </c>
      <c r="L255" s="4">
        <v>173605508.97999999</v>
      </c>
      <c r="M255" s="4">
        <v>169161064</v>
      </c>
      <c r="N255" s="4">
        <v>173877284</v>
      </c>
      <c r="O255" s="4">
        <v>173877284</v>
      </c>
      <c r="P255" s="4">
        <v>173877284</v>
      </c>
      <c r="Q255" s="4">
        <v>173877283.5</v>
      </c>
      <c r="R255" s="4">
        <v>0</v>
      </c>
      <c r="S255" s="4">
        <v>0</v>
      </c>
      <c r="T255" s="4">
        <v>0</v>
      </c>
      <c r="U255" s="23" t="s">
        <v>573</v>
      </c>
      <c r="V255" s="31">
        <v>190502600</v>
      </c>
      <c r="W255" s="17" t="s">
        <v>722</v>
      </c>
      <c r="X255" s="17" t="s">
        <v>750</v>
      </c>
      <c r="Y255" s="15" t="s">
        <v>779</v>
      </c>
      <c r="Z255" s="17">
        <v>2024</v>
      </c>
      <c r="AA255" s="17" t="s">
        <v>716</v>
      </c>
      <c r="AB255" s="81">
        <v>2024</v>
      </c>
      <c r="AC255" s="16" t="s">
        <v>716</v>
      </c>
      <c r="AD255" s="16" t="s">
        <v>848</v>
      </c>
      <c r="AE255" s="16" t="s">
        <v>855</v>
      </c>
      <c r="AF255" s="16" t="str">
        <f>_xlfn.CONCAT(EjecucionHaciendaDiciembre[[#This Row],[NOMBRE_RUBRO]]," - ",EjecucionHaciendaDiciembre[[#This Row],[NOMBRE_RECURSO]])</f>
        <v>Servicios para la comunidad, sociales y personales - 1.2.3.3.03 - APORTES NACION</v>
      </c>
      <c r="AH255" s="1"/>
      <c r="AI255" s="1"/>
      <c r="AJ255" s="1"/>
      <c r="AK255" s="1"/>
      <c r="AL255" s="1"/>
      <c r="AM255" s="1"/>
    </row>
    <row r="256" spans="1:39" ht="72" x14ac:dyDescent="0.3">
      <c r="A256" s="48" t="s">
        <v>99</v>
      </c>
      <c r="B256" s="48" t="s">
        <v>165</v>
      </c>
      <c r="C256" s="49" t="s">
        <v>251</v>
      </c>
      <c r="D256" s="49" t="s">
        <v>327</v>
      </c>
      <c r="E256" s="49" t="s">
        <v>224</v>
      </c>
      <c r="F256" s="48" t="s">
        <v>378</v>
      </c>
      <c r="G256" s="49" t="s">
        <v>399</v>
      </c>
      <c r="H256" s="48" t="s">
        <v>539</v>
      </c>
      <c r="I256" s="50">
        <v>1213946153</v>
      </c>
      <c r="J256" s="50">
        <v>109167916</v>
      </c>
      <c r="K256" s="50">
        <v>0</v>
      </c>
      <c r="L256" s="50">
        <v>0</v>
      </c>
      <c r="M256" s="50">
        <v>0</v>
      </c>
      <c r="N256" s="50">
        <v>1323114069</v>
      </c>
      <c r="O256" s="50">
        <v>1323114069</v>
      </c>
      <c r="P256" s="50">
        <v>1323114069</v>
      </c>
      <c r="Q256" s="50">
        <v>1323114069</v>
      </c>
      <c r="R256" s="50">
        <v>1323114069</v>
      </c>
      <c r="S256" s="50">
        <v>1323114069</v>
      </c>
      <c r="T256" s="50">
        <v>0</v>
      </c>
      <c r="U256" s="51"/>
      <c r="V256" s="52">
        <v>1906</v>
      </c>
      <c r="W256" s="17" t="s">
        <v>804</v>
      </c>
      <c r="X256" s="17" t="s">
        <v>716</v>
      </c>
      <c r="Y256" s="15"/>
      <c r="Z256" s="17"/>
      <c r="AA256" s="17" t="s">
        <v>716</v>
      </c>
      <c r="AB256" s="81"/>
      <c r="AC256" s="16" t="s">
        <v>716</v>
      </c>
      <c r="AD256" s="16" t="s">
        <v>848</v>
      </c>
      <c r="AE256" s="16" t="s">
        <v>855</v>
      </c>
      <c r="AF256" s="16" t="str">
        <f>_xlfn.CONCAT(EjecucionHaciendaDiciembre[[#This Row],[NOMBRE_RUBRO]]," - ",EjecucionHaciendaDiciembre[[#This Row],[NOMBRE_RECURSO]])</f>
        <v>Servicios para la comunidad, sociales y personales - 1.2.3.3.04 - OTRAS TRANSFERENCIAS CORRIENTES DE OTRAS ENTIDADES DEL GOBIERNO GENERAL</v>
      </c>
      <c r="AH256" s="1"/>
      <c r="AI256" s="1"/>
      <c r="AJ256" s="1"/>
      <c r="AK256" s="1"/>
      <c r="AL256" s="1"/>
      <c r="AM256" s="1"/>
    </row>
    <row r="257" spans="1:39" ht="43.2" x14ac:dyDescent="0.3">
      <c r="A257" s="3" t="s">
        <v>99</v>
      </c>
      <c r="B257" s="3" t="s">
        <v>165</v>
      </c>
      <c r="C257" s="2" t="s">
        <v>218</v>
      </c>
      <c r="D257" s="2" t="s">
        <v>294</v>
      </c>
      <c r="E257" s="2" t="s">
        <v>215</v>
      </c>
      <c r="F257" s="3" t="s">
        <v>377</v>
      </c>
      <c r="G257" s="2" t="s">
        <v>399</v>
      </c>
      <c r="H257" s="3"/>
      <c r="I257" s="4">
        <v>0</v>
      </c>
      <c r="J257" s="4">
        <v>3268584881.1799998</v>
      </c>
      <c r="K257" s="4">
        <v>0</v>
      </c>
      <c r="L257" s="4">
        <v>0</v>
      </c>
      <c r="M257" s="4">
        <v>0</v>
      </c>
      <c r="N257" s="4">
        <v>3268584881.1799998</v>
      </c>
      <c r="O257" s="4">
        <v>3268584881.1799998</v>
      </c>
      <c r="P257" s="4">
        <v>3268584881.1799998</v>
      </c>
      <c r="Q257" s="4">
        <v>1803735663.5</v>
      </c>
      <c r="R257" s="4">
        <v>1803735663.5</v>
      </c>
      <c r="S257" s="4">
        <v>1796152330.5</v>
      </c>
      <c r="T257" s="4">
        <v>0</v>
      </c>
      <c r="U257" s="23"/>
      <c r="V257" s="24"/>
      <c r="W257" s="17" t="s">
        <v>805</v>
      </c>
      <c r="X257" s="17" t="s">
        <v>716</v>
      </c>
      <c r="Y257" s="15"/>
      <c r="Z257" s="17"/>
      <c r="AA257" s="17" t="s">
        <v>716</v>
      </c>
      <c r="AB257" s="81"/>
      <c r="AC257" s="16" t="s">
        <v>716</v>
      </c>
      <c r="AD257" s="16" t="s">
        <v>849</v>
      </c>
      <c r="AE257" s="16" t="s">
        <v>855</v>
      </c>
      <c r="AF257" s="16" t="str">
        <f>_xlfn.CONCAT(EjecucionHaciendaDiciembre[[#This Row],[NOMBRE_RUBRO]]," - ",EjecucionHaciendaDiciembre[[#This Row],[NOMBRE_RECURSO]])</f>
        <v>Servicios para la comunidad, sociales y personales - 1.3.3.1.00-RECURSOS DEL BALANCE DE LIBRE DESTINACION</v>
      </c>
      <c r="AH257" s="1"/>
      <c r="AI257" s="1"/>
      <c r="AJ257" s="1"/>
      <c r="AK257" s="1"/>
      <c r="AL257" s="1"/>
      <c r="AM257" s="1"/>
    </row>
    <row r="258" spans="1:39" ht="57.6" x14ac:dyDescent="0.3">
      <c r="A258" s="3" t="s">
        <v>99</v>
      </c>
      <c r="B258" s="3" t="s">
        <v>165</v>
      </c>
      <c r="C258" s="2" t="s">
        <v>218</v>
      </c>
      <c r="D258" s="2" t="s">
        <v>294</v>
      </c>
      <c r="E258" s="2" t="s">
        <v>215</v>
      </c>
      <c r="F258" s="3" t="s">
        <v>377</v>
      </c>
      <c r="G258" s="55" t="s">
        <v>509</v>
      </c>
      <c r="H258" s="3" t="s">
        <v>713</v>
      </c>
      <c r="I258" s="4">
        <v>0</v>
      </c>
      <c r="J258" s="4">
        <v>0</v>
      </c>
      <c r="K258" s="4">
        <v>0</v>
      </c>
      <c r="L258" s="4">
        <v>29829150</v>
      </c>
      <c r="M258" s="4">
        <v>0</v>
      </c>
      <c r="N258" s="4">
        <v>29829150</v>
      </c>
      <c r="O258" s="4">
        <v>29829150</v>
      </c>
      <c r="P258" s="4">
        <v>29829150</v>
      </c>
      <c r="Q258" s="4">
        <v>29829150</v>
      </c>
      <c r="R258" s="4">
        <v>0</v>
      </c>
      <c r="S258" s="4">
        <v>0</v>
      </c>
      <c r="T258" s="4">
        <v>0</v>
      </c>
      <c r="U258" s="23" t="s">
        <v>840</v>
      </c>
      <c r="V258" s="24">
        <v>459902300</v>
      </c>
      <c r="W258" s="17" t="s">
        <v>841</v>
      </c>
      <c r="X258" s="17" t="s">
        <v>716</v>
      </c>
      <c r="Y258" s="15" t="s">
        <v>781</v>
      </c>
      <c r="Z258" s="17">
        <v>2025</v>
      </c>
      <c r="AA258" s="17" t="s">
        <v>716</v>
      </c>
      <c r="AB258" s="81">
        <v>2025</v>
      </c>
      <c r="AC258" s="16" t="s">
        <v>716</v>
      </c>
      <c r="AD258" s="16" t="s">
        <v>849</v>
      </c>
      <c r="AE258" s="16" t="s">
        <v>856</v>
      </c>
      <c r="AF258" s="16" t="str">
        <f>_xlfn.CONCAT(EjecucionHaciendaDiciembre[[#This Row],[NOMBRE_RUBRO]]," - ",EjecucionHaciendaDiciembre[[#This Row],[NOMBRE_RECURSO]])</f>
        <v>Servicios para la comunidad, sociales y personales - 1.3.3.1.00-RECURSOS DEL BALANCE DE LIBRE DESTINACION</v>
      </c>
      <c r="AH258" s="1"/>
      <c r="AI258" s="1"/>
      <c r="AJ258" s="1"/>
      <c r="AK258" s="1"/>
      <c r="AL258" s="1"/>
      <c r="AM258" s="1"/>
    </row>
    <row r="259" spans="1:39" ht="43.2" x14ac:dyDescent="0.3">
      <c r="A259" s="3" t="s">
        <v>99</v>
      </c>
      <c r="B259" s="3" t="s">
        <v>165</v>
      </c>
      <c r="C259" s="2" t="s">
        <v>218</v>
      </c>
      <c r="D259" s="2" t="s">
        <v>294</v>
      </c>
      <c r="E259" s="2" t="s">
        <v>215</v>
      </c>
      <c r="F259" s="3" t="s">
        <v>377</v>
      </c>
      <c r="G259" s="2" t="s">
        <v>464</v>
      </c>
      <c r="H259" s="3" t="s">
        <v>712</v>
      </c>
      <c r="I259" s="4">
        <v>0</v>
      </c>
      <c r="J259" s="4">
        <v>0</v>
      </c>
      <c r="K259" s="4">
        <v>0</v>
      </c>
      <c r="L259" s="4">
        <v>264536237.38999999</v>
      </c>
      <c r="M259" s="4">
        <v>0</v>
      </c>
      <c r="N259" s="4">
        <v>264536237.38999999</v>
      </c>
      <c r="O259" s="4">
        <v>264536237.38999999</v>
      </c>
      <c r="P259" s="4">
        <v>264536237.38999999</v>
      </c>
      <c r="Q259" s="4">
        <v>264536237.38999999</v>
      </c>
      <c r="R259" s="4">
        <v>264536237.38999999</v>
      </c>
      <c r="S259" s="4">
        <v>264536237.38999999</v>
      </c>
      <c r="T259" s="4">
        <v>0</v>
      </c>
      <c r="U259" s="23" t="s">
        <v>727</v>
      </c>
      <c r="V259" s="24">
        <v>459902900</v>
      </c>
      <c r="W259" s="17" t="s">
        <v>830</v>
      </c>
      <c r="X259" s="17" t="s">
        <v>748</v>
      </c>
      <c r="Y259" s="15" t="s">
        <v>779</v>
      </c>
      <c r="Z259" s="75">
        <v>2024</v>
      </c>
      <c r="AA259" s="17" t="s">
        <v>716</v>
      </c>
      <c r="AB259" s="81">
        <v>2024</v>
      </c>
      <c r="AC259" s="16" t="s">
        <v>716</v>
      </c>
      <c r="AD259" s="16" t="s">
        <v>849</v>
      </c>
      <c r="AE259" s="16" t="s">
        <v>855</v>
      </c>
      <c r="AF259" s="16" t="str">
        <f>_xlfn.CONCAT(EjecucionHaciendaDiciembre[[#This Row],[NOMBRE_RUBRO]]," - ",EjecucionHaciendaDiciembre[[#This Row],[NOMBRE_RECURSO]])</f>
        <v>Servicios para la comunidad, sociales y personales - 1.3.3.1.00-RECURSOS DEL BALANCE DE LIBRE DESTINACION</v>
      </c>
      <c r="AH259" s="1"/>
      <c r="AI259" s="1"/>
      <c r="AJ259" s="1"/>
      <c r="AK259" s="1"/>
      <c r="AL259" s="1"/>
      <c r="AM259" s="1"/>
    </row>
    <row r="260" spans="1:39" ht="57.6" x14ac:dyDescent="0.3">
      <c r="A260" s="40" t="s">
        <v>99</v>
      </c>
      <c r="B260" s="40" t="s">
        <v>165</v>
      </c>
      <c r="C260" s="41" t="s">
        <v>218</v>
      </c>
      <c r="D260" s="41" t="s">
        <v>294</v>
      </c>
      <c r="E260" s="41" t="s">
        <v>215</v>
      </c>
      <c r="F260" s="40" t="s">
        <v>377</v>
      </c>
      <c r="G260" s="57" t="s">
        <v>510</v>
      </c>
      <c r="H260" s="40" t="s">
        <v>714</v>
      </c>
      <c r="I260" s="42">
        <v>0</v>
      </c>
      <c r="J260" s="42">
        <v>0</v>
      </c>
      <c r="K260" s="42">
        <v>0</v>
      </c>
      <c r="L260" s="42">
        <v>317439220</v>
      </c>
      <c r="M260" s="42">
        <v>0</v>
      </c>
      <c r="N260" s="42">
        <v>317439220</v>
      </c>
      <c r="O260" s="42">
        <v>317439220</v>
      </c>
      <c r="P260" s="43">
        <v>317439220</v>
      </c>
      <c r="Q260" s="42">
        <v>0</v>
      </c>
      <c r="R260" s="42">
        <v>0</v>
      </c>
      <c r="S260" s="42">
        <v>0</v>
      </c>
      <c r="T260" s="42">
        <v>0</v>
      </c>
      <c r="U260" s="44"/>
      <c r="V260" s="87">
        <v>459901100</v>
      </c>
      <c r="W260" s="17" t="s">
        <v>746</v>
      </c>
      <c r="X260" s="17" t="s">
        <v>751</v>
      </c>
      <c r="Y260" s="15" t="s">
        <v>781</v>
      </c>
      <c r="Z260" s="17">
        <v>2025</v>
      </c>
      <c r="AA260" s="17" t="s">
        <v>716</v>
      </c>
      <c r="AB260" s="81">
        <v>2025</v>
      </c>
      <c r="AC260" s="16" t="s">
        <v>716</v>
      </c>
      <c r="AD260" s="16" t="s">
        <v>849</v>
      </c>
      <c r="AE260" s="16" t="s">
        <v>856</v>
      </c>
      <c r="AF260" s="16" t="str">
        <f>_xlfn.CONCAT(EjecucionHaciendaDiciembre[[#This Row],[NOMBRE_RUBRO]]," - ",EjecucionHaciendaDiciembre[[#This Row],[NOMBRE_RECURSO]])</f>
        <v>Servicios para la comunidad, sociales y personales - 1.3.3.1.00-RECURSOS DEL BALANCE DE LIBRE DESTINACION</v>
      </c>
      <c r="AH260" s="1"/>
      <c r="AI260" s="1"/>
      <c r="AJ260" s="1"/>
      <c r="AK260" s="1"/>
      <c r="AL260" s="1"/>
      <c r="AM260" s="1"/>
    </row>
    <row r="261" spans="1:39" ht="57.6" x14ac:dyDescent="0.3">
      <c r="A261" s="36" t="s">
        <v>99</v>
      </c>
      <c r="B261" s="36" t="s">
        <v>165</v>
      </c>
      <c r="C261" s="37" t="s">
        <v>218</v>
      </c>
      <c r="D261" s="37" t="s">
        <v>294</v>
      </c>
      <c r="E261" s="37" t="s">
        <v>374</v>
      </c>
      <c r="F261" s="36" t="s">
        <v>389</v>
      </c>
      <c r="G261" s="37" t="s">
        <v>511</v>
      </c>
      <c r="H261" s="36" t="s">
        <v>565</v>
      </c>
      <c r="I261" s="38">
        <v>0</v>
      </c>
      <c r="J261" s="38">
        <v>1109897203</v>
      </c>
      <c r="K261" s="38">
        <v>0</v>
      </c>
      <c r="L261" s="38">
        <v>0</v>
      </c>
      <c r="M261" s="38">
        <v>1109897203</v>
      </c>
      <c r="N261" s="38">
        <v>0</v>
      </c>
      <c r="O261" s="38">
        <v>0</v>
      </c>
      <c r="P261" s="38">
        <v>0</v>
      </c>
      <c r="Q261" s="38">
        <v>0</v>
      </c>
      <c r="R261" s="38">
        <v>0</v>
      </c>
      <c r="S261" s="38">
        <v>0</v>
      </c>
      <c r="T261" s="38">
        <v>0</v>
      </c>
      <c r="U261" s="39"/>
      <c r="V261" s="88">
        <v>230106200</v>
      </c>
      <c r="W261" s="17"/>
      <c r="X261" s="17" t="s">
        <v>748</v>
      </c>
      <c r="Y261" s="15"/>
      <c r="Z261" s="17"/>
      <c r="AA261" s="17" t="s">
        <v>716</v>
      </c>
      <c r="AB261" s="81"/>
      <c r="AC261" s="16" t="s">
        <v>716</v>
      </c>
      <c r="AD261" s="16" t="s">
        <v>849</v>
      </c>
      <c r="AE261" s="16" t="s">
        <v>716</v>
      </c>
      <c r="AF261" s="16" t="str">
        <f>_xlfn.CONCAT(EjecucionHaciendaDiciembre[[#This Row],[NOMBRE_RUBRO]]," - ",EjecucionHaciendaDiciembre[[#This Row],[NOMBRE_RECURSO]])</f>
        <v>Servicios para la comunidad, sociales y personales - 1.3.3.1.00-RECURSOS DEL BALANCE DE LIBRE DESTINACION</v>
      </c>
      <c r="AH261" s="1"/>
      <c r="AI261" s="1"/>
      <c r="AJ261" s="1"/>
      <c r="AK261" s="1"/>
      <c r="AL261" s="1"/>
      <c r="AM261" s="1"/>
    </row>
    <row r="262" spans="1:39" ht="43.2" x14ac:dyDescent="0.3">
      <c r="A262" s="36" t="s">
        <v>99</v>
      </c>
      <c r="B262" s="36" t="s">
        <v>165</v>
      </c>
      <c r="C262" s="37" t="s">
        <v>218</v>
      </c>
      <c r="D262" s="37" t="s">
        <v>294</v>
      </c>
      <c r="E262" s="37" t="s">
        <v>372</v>
      </c>
      <c r="F262" s="36" t="s">
        <v>387</v>
      </c>
      <c r="G262" s="37" t="s">
        <v>399</v>
      </c>
      <c r="H262" s="36"/>
      <c r="I262" s="38">
        <v>0</v>
      </c>
      <c r="J262" s="38">
        <v>166394188</v>
      </c>
      <c r="K262" s="38">
        <v>0</v>
      </c>
      <c r="L262" s="38">
        <v>0</v>
      </c>
      <c r="M262" s="38">
        <v>166394188</v>
      </c>
      <c r="N262" s="38">
        <v>0</v>
      </c>
      <c r="O262" s="38">
        <v>0</v>
      </c>
      <c r="P262" s="38">
        <v>0</v>
      </c>
      <c r="Q262" s="38">
        <v>0</v>
      </c>
      <c r="R262" s="38">
        <v>0</v>
      </c>
      <c r="S262" s="38">
        <v>0</v>
      </c>
      <c r="T262" s="38">
        <v>0</v>
      </c>
      <c r="U262" s="39"/>
      <c r="V262" s="84"/>
      <c r="W262" s="17"/>
      <c r="X262" s="17" t="s">
        <v>716</v>
      </c>
      <c r="Y262" s="15"/>
      <c r="Z262" s="17"/>
      <c r="AA262" s="17" t="s">
        <v>716</v>
      </c>
      <c r="AB262" s="81"/>
      <c r="AC262" s="16" t="s">
        <v>716</v>
      </c>
      <c r="AD262" s="16" t="s">
        <v>849</v>
      </c>
      <c r="AE262" s="16" t="s">
        <v>855</v>
      </c>
      <c r="AF262" s="16" t="str">
        <f>_xlfn.CONCAT(EjecucionHaciendaDiciembre[[#This Row],[NOMBRE_RUBRO]]," - ",EjecucionHaciendaDiciembre[[#This Row],[NOMBRE_RECURSO]])</f>
        <v>Servicios para la comunidad, sociales y personales - 1.3.3.1.00-RECURSOS DEL BALANCE DE LIBRE DESTINACION</v>
      </c>
      <c r="AH262" s="1"/>
      <c r="AI262" s="1"/>
      <c r="AJ262" s="1"/>
      <c r="AK262" s="1"/>
      <c r="AL262" s="1"/>
      <c r="AM262" s="1"/>
    </row>
    <row r="263" spans="1:39" ht="57.6" x14ac:dyDescent="0.3">
      <c r="A263" s="3" t="s">
        <v>99</v>
      </c>
      <c r="B263" s="3" t="s">
        <v>165</v>
      </c>
      <c r="C263" s="2" t="s">
        <v>218</v>
      </c>
      <c r="D263" s="2" t="s">
        <v>294</v>
      </c>
      <c r="E263" s="2" t="s">
        <v>372</v>
      </c>
      <c r="F263" s="3" t="s">
        <v>387</v>
      </c>
      <c r="G263" s="2" t="s">
        <v>512</v>
      </c>
      <c r="H263" s="3" t="s">
        <v>621</v>
      </c>
      <c r="I263" s="4">
        <v>0</v>
      </c>
      <c r="J263" s="4">
        <v>0</v>
      </c>
      <c r="K263" s="4">
        <v>0</v>
      </c>
      <c r="L263" s="4">
        <v>166394188</v>
      </c>
      <c r="M263" s="4">
        <v>0</v>
      </c>
      <c r="N263" s="4">
        <v>166394188</v>
      </c>
      <c r="O263" s="4">
        <v>166394188</v>
      </c>
      <c r="P263" s="4">
        <v>166394188</v>
      </c>
      <c r="Q263" s="4">
        <v>166094961</v>
      </c>
      <c r="R263" s="4">
        <v>30031202.199999999</v>
      </c>
      <c r="S263" s="4">
        <v>30031202.199999999</v>
      </c>
      <c r="T263" s="4">
        <v>0</v>
      </c>
      <c r="U263" s="23" t="s">
        <v>732</v>
      </c>
      <c r="V263" s="31">
        <v>170202100</v>
      </c>
      <c r="W263" s="17" t="s">
        <v>917</v>
      </c>
      <c r="X263" s="17" t="s">
        <v>829</v>
      </c>
      <c r="Y263" s="15" t="s">
        <v>781</v>
      </c>
      <c r="Z263" s="17">
        <v>2025</v>
      </c>
      <c r="AA263" s="17" t="s">
        <v>716</v>
      </c>
      <c r="AB263" s="81">
        <v>2025</v>
      </c>
      <c r="AC263" s="16" t="s">
        <v>716</v>
      </c>
      <c r="AD263" s="16" t="s">
        <v>849</v>
      </c>
      <c r="AE263" s="16" t="s">
        <v>884</v>
      </c>
      <c r="AF263" s="16" t="str">
        <f>_xlfn.CONCAT(EjecucionHaciendaDiciembre[[#This Row],[NOMBRE_RUBRO]]," - ",EjecucionHaciendaDiciembre[[#This Row],[NOMBRE_RECURSO]])</f>
        <v>Servicios para la comunidad, sociales y personales - 1.3.3.1.00-RECURSOS DEL BALANCE DE LIBRE DESTINACION</v>
      </c>
      <c r="AH263" s="1"/>
      <c r="AI263" s="1"/>
      <c r="AJ263" s="1"/>
      <c r="AK263" s="1"/>
      <c r="AL263" s="1"/>
      <c r="AM263" s="1"/>
    </row>
    <row r="264" spans="1:39" ht="43.2" x14ac:dyDescent="0.3">
      <c r="A264" s="36" t="s">
        <v>99</v>
      </c>
      <c r="B264" s="36" t="s">
        <v>165</v>
      </c>
      <c r="C264" s="37" t="s">
        <v>218</v>
      </c>
      <c r="D264" s="37" t="s">
        <v>294</v>
      </c>
      <c r="E264" s="37" t="s">
        <v>218</v>
      </c>
      <c r="F264" s="36" t="s">
        <v>386</v>
      </c>
      <c r="G264" s="37" t="s">
        <v>399</v>
      </c>
      <c r="H264" s="36"/>
      <c r="I264" s="38">
        <v>0</v>
      </c>
      <c r="J264" s="38">
        <v>229077125</v>
      </c>
      <c r="K264" s="38">
        <v>0</v>
      </c>
      <c r="L264" s="38">
        <v>0</v>
      </c>
      <c r="M264" s="38">
        <v>229077125</v>
      </c>
      <c r="N264" s="38">
        <v>0</v>
      </c>
      <c r="O264" s="38">
        <v>0</v>
      </c>
      <c r="P264" s="38">
        <v>0</v>
      </c>
      <c r="Q264" s="38">
        <v>0</v>
      </c>
      <c r="R264" s="38">
        <v>0</v>
      </c>
      <c r="S264" s="38">
        <v>0</v>
      </c>
      <c r="T264" s="38">
        <v>0</v>
      </c>
      <c r="U264" s="39"/>
      <c r="V264" s="84"/>
      <c r="W264" s="17"/>
      <c r="X264" s="17" t="s">
        <v>716</v>
      </c>
      <c r="Y264" s="15"/>
      <c r="Z264" s="17"/>
      <c r="AA264" s="17" t="s">
        <v>716</v>
      </c>
      <c r="AB264" s="81"/>
      <c r="AC264" s="16" t="s">
        <v>716</v>
      </c>
      <c r="AD264" s="16" t="s">
        <v>849</v>
      </c>
      <c r="AE264" s="16" t="s">
        <v>855</v>
      </c>
      <c r="AF264" s="16" t="str">
        <f>_xlfn.CONCAT(EjecucionHaciendaDiciembre[[#This Row],[NOMBRE_RUBRO]]," - ",EjecucionHaciendaDiciembre[[#This Row],[NOMBRE_RECURSO]])</f>
        <v>Servicios para la comunidad, sociales y personales - 1.3.3.1.00-RECURSOS DEL BALANCE DE LIBRE DESTINACION</v>
      </c>
      <c r="AH264" s="1"/>
      <c r="AI264" s="1"/>
      <c r="AJ264" s="1"/>
      <c r="AK264" s="1"/>
      <c r="AL264" s="1"/>
      <c r="AM264" s="1"/>
    </row>
    <row r="265" spans="1:39" ht="43.2" x14ac:dyDescent="0.3">
      <c r="A265" s="3" t="s">
        <v>99</v>
      </c>
      <c r="B265" s="3" t="s">
        <v>165</v>
      </c>
      <c r="C265" s="2" t="s">
        <v>218</v>
      </c>
      <c r="D265" s="2" t="s">
        <v>294</v>
      </c>
      <c r="E265" s="2" t="s">
        <v>218</v>
      </c>
      <c r="F265" s="3" t="s">
        <v>386</v>
      </c>
      <c r="G265" s="2" t="s">
        <v>513</v>
      </c>
      <c r="H265" s="3" t="s">
        <v>666</v>
      </c>
      <c r="I265" s="4">
        <v>0</v>
      </c>
      <c r="J265" s="4">
        <v>205000000</v>
      </c>
      <c r="K265" s="4">
        <v>0</v>
      </c>
      <c r="L265" s="4">
        <v>205000000</v>
      </c>
      <c r="M265" s="4">
        <v>205000000</v>
      </c>
      <c r="N265" s="4">
        <v>205000000</v>
      </c>
      <c r="O265" s="4">
        <v>205000000</v>
      </c>
      <c r="P265" s="4">
        <v>205000000</v>
      </c>
      <c r="Q265" s="4">
        <v>205000000</v>
      </c>
      <c r="R265" s="4">
        <v>205000000</v>
      </c>
      <c r="S265" s="4">
        <v>153750000</v>
      </c>
      <c r="T265" s="4">
        <v>0</v>
      </c>
      <c r="U265" s="23" t="s">
        <v>741</v>
      </c>
      <c r="V265" s="31">
        <v>459903100</v>
      </c>
      <c r="W265" s="17" t="s">
        <v>830</v>
      </c>
      <c r="X265" s="17" t="s">
        <v>748</v>
      </c>
      <c r="Y265" s="15" t="s">
        <v>779</v>
      </c>
      <c r="Z265" s="17">
        <v>2024</v>
      </c>
      <c r="AA265" s="17" t="s">
        <v>716</v>
      </c>
      <c r="AB265" s="81">
        <v>2024</v>
      </c>
      <c r="AC265" s="16" t="s">
        <v>716</v>
      </c>
      <c r="AD265" s="16" t="s">
        <v>849</v>
      </c>
      <c r="AE265" s="16" t="s">
        <v>855</v>
      </c>
      <c r="AF265" s="16" t="str">
        <f>_xlfn.CONCAT(EjecucionHaciendaDiciembre[[#This Row],[NOMBRE_RUBRO]]," - ",EjecucionHaciendaDiciembre[[#This Row],[NOMBRE_RECURSO]])</f>
        <v>Servicios para la comunidad, sociales y personales - 1.3.3.1.00-RECURSOS DEL BALANCE DE LIBRE DESTINACION</v>
      </c>
      <c r="AH265" s="1"/>
      <c r="AI265" s="1"/>
      <c r="AJ265" s="1"/>
      <c r="AK265" s="1"/>
      <c r="AL265" s="1"/>
      <c r="AM265" s="1"/>
    </row>
    <row r="266" spans="1:39" ht="43.2" x14ac:dyDescent="0.3">
      <c r="A266" s="36" t="s">
        <v>99</v>
      </c>
      <c r="B266" s="36" t="s">
        <v>165</v>
      </c>
      <c r="C266" s="37" t="s">
        <v>218</v>
      </c>
      <c r="D266" s="37" t="s">
        <v>294</v>
      </c>
      <c r="E266" s="37" t="s">
        <v>218</v>
      </c>
      <c r="F266" s="36" t="s">
        <v>386</v>
      </c>
      <c r="G266" s="37" t="s">
        <v>514</v>
      </c>
      <c r="H266" s="36" t="s">
        <v>667</v>
      </c>
      <c r="I266" s="38">
        <v>0</v>
      </c>
      <c r="J266" s="38">
        <v>209500000</v>
      </c>
      <c r="K266" s="38">
        <v>0</v>
      </c>
      <c r="L266" s="38">
        <v>0</v>
      </c>
      <c r="M266" s="38">
        <v>209500000</v>
      </c>
      <c r="N266" s="38">
        <v>0</v>
      </c>
      <c r="O266" s="38">
        <v>0</v>
      </c>
      <c r="P266" s="38">
        <v>0</v>
      </c>
      <c r="Q266" s="38">
        <v>0</v>
      </c>
      <c r="R266" s="38">
        <v>0</v>
      </c>
      <c r="S266" s="38">
        <v>0</v>
      </c>
      <c r="T266" s="38">
        <v>0</v>
      </c>
      <c r="U266" s="39"/>
      <c r="V266" s="84"/>
      <c r="W266" s="17"/>
      <c r="X266" s="17" t="s">
        <v>716</v>
      </c>
      <c r="Y266" s="15"/>
      <c r="Z266" s="17"/>
      <c r="AA266" s="17" t="s">
        <v>716</v>
      </c>
      <c r="AB266" s="81"/>
      <c r="AC266" s="16" t="s">
        <v>716</v>
      </c>
      <c r="AD266" s="16" t="s">
        <v>849</v>
      </c>
      <c r="AE266" s="16" t="s">
        <v>716</v>
      </c>
      <c r="AF266" s="16" t="str">
        <f>_xlfn.CONCAT(EjecucionHaciendaDiciembre[[#This Row],[NOMBRE_RUBRO]]," - ",EjecucionHaciendaDiciembre[[#This Row],[NOMBRE_RECURSO]])</f>
        <v>Servicios para la comunidad, sociales y personales - 1.3.3.1.00-RECURSOS DEL BALANCE DE LIBRE DESTINACION</v>
      </c>
      <c r="AH266" s="1"/>
      <c r="AI266" s="1"/>
      <c r="AJ266" s="1"/>
      <c r="AK266" s="1"/>
      <c r="AL266" s="1"/>
      <c r="AM266" s="1"/>
    </row>
    <row r="267" spans="1:39" ht="57.6" x14ac:dyDescent="0.3">
      <c r="A267" s="3" t="s">
        <v>99</v>
      </c>
      <c r="B267" s="3" t="s">
        <v>165</v>
      </c>
      <c r="C267" s="2" t="s">
        <v>218</v>
      </c>
      <c r="D267" s="2" t="s">
        <v>294</v>
      </c>
      <c r="E267" s="2" t="s">
        <v>218</v>
      </c>
      <c r="F267" s="3" t="s">
        <v>386</v>
      </c>
      <c r="G267" s="2" t="s">
        <v>515</v>
      </c>
      <c r="H267" s="3" t="s">
        <v>668</v>
      </c>
      <c r="I267" s="4">
        <v>0</v>
      </c>
      <c r="J267" s="4">
        <v>0</v>
      </c>
      <c r="K267" s="4">
        <v>0</v>
      </c>
      <c r="L267" s="4">
        <v>209500000</v>
      </c>
      <c r="M267" s="4">
        <v>0</v>
      </c>
      <c r="N267" s="4">
        <v>209500000</v>
      </c>
      <c r="O267" s="4">
        <v>209500000</v>
      </c>
      <c r="P267" s="4">
        <v>209500000</v>
      </c>
      <c r="Q267" s="4">
        <v>209500000</v>
      </c>
      <c r="R267" s="4">
        <v>179200000</v>
      </c>
      <c r="S267" s="4">
        <v>168600000</v>
      </c>
      <c r="T267" s="4">
        <v>0</v>
      </c>
      <c r="U267" s="23" t="s">
        <v>665</v>
      </c>
      <c r="V267" s="31">
        <v>400201600</v>
      </c>
      <c r="W267" s="17" t="s">
        <v>830</v>
      </c>
      <c r="X267" s="17" t="s">
        <v>754</v>
      </c>
      <c r="Y267" s="15" t="s">
        <v>779</v>
      </c>
      <c r="Z267" s="17">
        <v>2024</v>
      </c>
      <c r="AA267" s="17" t="s">
        <v>716</v>
      </c>
      <c r="AB267" s="81">
        <v>2024</v>
      </c>
      <c r="AC267" s="16" t="s">
        <v>716</v>
      </c>
      <c r="AD267" s="16" t="s">
        <v>849</v>
      </c>
      <c r="AE267" s="16" t="s">
        <v>855</v>
      </c>
      <c r="AF267" s="16" t="str">
        <f>_xlfn.CONCAT(EjecucionHaciendaDiciembre[[#This Row],[NOMBRE_RUBRO]]," - ",EjecucionHaciendaDiciembre[[#This Row],[NOMBRE_RECURSO]])</f>
        <v>Servicios para la comunidad, sociales y personales - 1.3.3.1.00-RECURSOS DEL BALANCE DE LIBRE DESTINACION</v>
      </c>
      <c r="AH267" s="1"/>
      <c r="AI267" s="1"/>
      <c r="AJ267" s="1"/>
      <c r="AK267" s="1"/>
      <c r="AL267" s="1"/>
      <c r="AM267" s="1"/>
    </row>
    <row r="268" spans="1:39" ht="57.6" x14ac:dyDescent="0.3">
      <c r="A268" s="36" t="s">
        <v>99</v>
      </c>
      <c r="B268" s="36" t="s">
        <v>165</v>
      </c>
      <c r="C268" s="37" t="s">
        <v>218</v>
      </c>
      <c r="D268" s="37" t="s">
        <v>294</v>
      </c>
      <c r="E268" s="37" t="s">
        <v>218</v>
      </c>
      <c r="F268" s="36" t="s">
        <v>386</v>
      </c>
      <c r="G268" s="37" t="s">
        <v>516</v>
      </c>
      <c r="H268" s="36" t="s">
        <v>669</v>
      </c>
      <c r="I268" s="38">
        <v>0</v>
      </c>
      <c r="J268" s="38">
        <v>0</v>
      </c>
      <c r="K268" s="38">
        <v>0</v>
      </c>
      <c r="L268" s="38">
        <v>164000000</v>
      </c>
      <c r="M268" s="38">
        <v>164000000</v>
      </c>
      <c r="N268" s="38">
        <v>0</v>
      </c>
      <c r="O268" s="38">
        <v>0</v>
      </c>
      <c r="P268" s="38">
        <v>0</v>
      </c>
      <c r="Q268" s="38">
        <v>0</v>
      </c>
      <c r="R268" s="38">
        <v>0</v>
      </c>
      <c r="S268" s="38">
        <v>0</v>
      </c>
      <c r="T268" s="38">
        <v>0</v>
      </c>
      <c r="U268" s="39"/>
      <c r="V268" s="84"/>
      <c r="W268" s="17"/>
      <c r="X268" s="17" t="s">
        <v>716</v>
      </c>
      <c r="Y268" s="15"/>
      <c r="Z268" s="17"/>
      <c r="AA268" s="17" t="s">
        <v>716</v>
      </c>
      <c r="AB268" s="81"/>
      <c r="AC268" s="16" t="s">
        <v>716</v>
      </c>
      <c r="AD268" s="16" t="s">
        <v>849</v>
      </c>
      <c r="AE268" s="16" t="s">
        <v>716</v>
      </c>
      <c r="AF268" s="16" t="str">
        <f>_xlfn.CONCAT(EjecucionHaciendaDiciembre[[#This Row],[NOMBRE_RUBRO]]," - ",EjecucionHaciendaDiciembre[[#This Row],[NOMBRE_RECURSO]])</f>
        <v>Servicios para la comunidad, sociales y personales - 1.3.3.1.00-RECURSOS DEL BALANCE DE LIBRE DESTINACION</v>
      </c>
      <c r="AH268" s="1"/>
      <c r="AI268" s="1"/>
      <c r="AJ268" s="1"/>
      <c r="AK268" s="1"/>
      <c r="AL268" s="1"/>
      <c r="AM268" s="1"/>
    </row>
    <row r="269" spans="1:39" ht="72" x14ac:dyDescent="0.3">
      <c r="A269" s="3" t="s">
        <v>99</v>
      </c>
      <c r="B269" s="3" t="s">
        <v>165</v>
      </c>
      <c r="C269" s="2" t="s">
        <v>218</v>
      </c>
      <c r="D269" s="2" t="s">
        <v>294</v>
      </c>
      <c r="E269" s="2" t="s">
        <v>218</v>
      </c>
      <c r="F269" s="3" t="s">
        <v>386</v>
      </c>
      <c r="G269" s="2" t="s">
        <v>517</v>
      </c>
      <c r="H269" s="3" t="s">
        <v>670</v>
      </c>
      <c r="I269" s="4">
        <v>0</v>
      </c>
      <c r="J269" s="4">
        <v>0</v>
      </c>
      <c r="K269" s="4">
        <v>0</v>
      </c>
      <c r="L269" s="4">
        <v>65000000</v>
      </c>
      <c r="M269" s="4">
        <v>0</v>
      </c>
      <c r="N269" s="4">
        <v>65000000</v>
      </c>
      <c r="O269" s="4">
        <v>65000000</v>
      </c>
      <c r="P269" s="4">
        <v>65000000</v>
      </c>
      <c r="Q269" s="4">
        <v>65000000</v>
      </c>
      <c r="R269" s="4">
        <v>0</v>
      </c>
      <c r="S269" s="4">
        <v>0</v>
      </c>
      <c r="T269" s="4">
        <v>0</v>
      </c>
      <c r="U269" s="23" t="s">
        <v>741</v>
      </c>
      <c r="V269" s="24">
        <v>459903100</v>
      </c>
      <c r="W269" s="17" t="s">
        <v>837</v>
      </c>
      <c r="X269" s="17" t="s">
        <v>749</v>
      </c>
      <c r="Y269" s="15" t="s">
        <v>781</v>
      </c>
      <c r="Z269" s="17">
        <v>2025</v>
      </c>
      <c r="AA269" s="17" t="s">
        <v>716</v>
      </c>
      <c r="AB269" s="81">
        <v>2025</v>
      </c>
      <c r="AC269" s="16" t="s">
        <v>716</v>
      </c>
      <c r="AD269" s="16" t="s">
        <v>849</v>
      </c>
      <c r="AE269" s="16" t="s">
        <v>879</v>
      </c>
      <c r="AF269" s="16" t="str">
        <f>_xlfn.CONCAT(EjecucionHaciendaDiciembre[[#This Row],[NOMBRE_RUBRO]]," - ",EjecucionHaciendaDiciembre[[#This Row],[NOMBRE_RECURSO]])</f>
        <v>Servicios para la comunidad, sociales y personales - 1.3.3.1.00-RECURSOS DEL BALANCE DE LIBRE DESTINACION</v>
      </c>
      <c r="AH269" s="1"/>
      <c r="AI269" s="1"/>
      <c r="AJ269" s="1"/>
      <c r="AK269" s="1"/>
      <c r="AL269" s="1"/>
      <c r="AM269" s="1"/>
    </row>
    <row r="270" spans="1:39" ht="57.6" x14ac:dyDescent="0.3">
      <c r="A270" s="3" t="s">
        <v>99</v>
      </c>
      <c r="B270" s="3" t="s">
        <v>165</v>
      </c>
      <c r="C270" s="2" t="s">
        <v>218</v>
      </c>
      <c r="D270" s="2" t="s">
        <v>294</v>
      </c>
      <c r="E270" s="2" t="s">
        <v>218</v>
      </c>
      <c r="F270" s="3" t="s">
        <v>386</v>
      </c>
      <c r="G270" s="2" t="s">
        <v>518</v>
      </c>
      <c r="H270" s="3" t="s">
        <v>669</v>
      </c>
      <c r="I270" s="4">
        <v>0</v>
      </c>
      <c r="J270" s="4">
        <v>0</v>
      </c>
      <c r="K270" s="4">
        <v>0</v>
      </c>
      <c r="L270" s="4">
        <v>164000000</v>
      </c>
      <c r="M270" s="4">
        <v>0</v>
      </c>
      <c r="N270" s="4">
        <v>164000000</v>
      </c>
      <c r="O270" s="4">
        <v>164000000</v>
      </c>
      <c r="P270" s="4">
        <v>164000000</v>
      </c>
      <c r="Q270" s="4">
        <v>164000000</v>
      </c>
      <c r="R270" s="4">
        <v>0</v>
      </c>
      <c r="S270" s="4">
        <v>0</v>
      </c>
      <c r="T270" s="4">
        <v>0</v>
      </c>
      <c r="U270" s="23" t="s">
        <v>839</v>
      </c>
      <c r="V270" s="58">
        <v>40110600</v>
      </c>
      <c r="W270" s="17" t="s">
        <v>838</v>
      </c>
      <c r="X270" s="17" t="s">
        <v>751</v>
      </c>
      <c r="Y270" s="15" t="s">
        <v>781</v>
      </c>
      <c r="Z270" s="17">
        <v>2025</v>
      </c>
      <c r="AA270" s="17" t="s">
        <v>716</v>
      </c>
      <c r="AB270" s="81">
        <v>2025</v>
      </c>
      <c r="AC270" s="16" t="s">
        <v>716</v>
      </c>
      <c r="AD270" s="16" t="s">
        <v>849</v>
      </c>
      <c r="AE270" s="16" t="s">
        <v>855</v>
      </c>
      <c r="AF270" s="16" t="str">
        <f>_xlfn.CONCAT(EjecucionHaciendaDiciembre[[#This Row],[NOMBRE_RUBRO]]," - ",EjecucionHaciendaDiciembre[[#This Row],[NOMBRE_RECURSO]])</f>
        <v>Servicios para la comunidad, sociales y personales - 1.3.3.1.00-RECURSOS DEL BALANCE DE LIBRE DESTINACION</v>
      </c>
      <c r="AH270" s="1"/>
      <c r="AI270" s="1"/>
      <c r="AJ270" s="1"/>
      <c r="AK270" s="1"/>
      <c r="AL270" s="1"/>
      <c r="AM270" s="1"/>
    </row>
    <row r="271" spans="1:39" ht="43.2" x14ac:dyDescent="0.3">
      <c r="A271" s="36" t="s">
        <v>99</v>
      </c>
      <c r="B271" s="36" t="s">
        <v>165</v>
      </c>
      <c r="C271" s="37" t="s">
        <v>218</v>
      </c>
      <c r="D271" s="37" t="s">
        <v>294</v>
      </c>
      <c r="E271" s="37" t="s">
        <v>367</v>
      </c>
      <c r="F271" s="36" t="s">
        <v>379</v>
      </c>
      <c r="G271" s="37" t="s">
        <v>399</v>
      </c>
      <c r="H271" s="36"/>
      <c r="I271" s="38">
        <v>0</v>
      </c>
      <c r="J271" s="38">
        <v>1890102797</v>
      </c>
      <c r="K271" s="38">
        <v>0</v>
      </c>
      <c r="L271" s="38">
        <v>1109897203</v>
      </c>
      <c r="M271" s="38">
        <v>3000000000</v>
      </c>
      <c r="N271" s="38">
        <v>0</v>
      </c>
      <c r="O271" s="38">
        <v>0</v>
      </c>
      <c r="P271" s="38">
        <v>0</v>
      </c>
      <c r="Q271" s="38">
        <v>0</v>
      </c>
      <c r="R271" s="38">
        <v>0</v>
      </c>
      <c r="S271" s="38">
        <v>0</v>
      </c>
      <c r="T271" s="38">
        <v>0</v>
      </c>
      <c r="U271" s="39"/>
      <c r="V271" s="84"/>
      <c r="W271" s="17"/>
      <c r="X271" s="17" t="s">
        <v>716</v>
      </c>
      <c r="Y271" s="15"/>
      <c r="Z271" s="17"/>
      <c r="AA271" s="17" t="s">
        <v>716</v>
      </c>
      <c r="AB271" s="81"/>
      <c r="AC271" s="16" t="s">
        <v>716</v>
      </c>
      <c r="AD271" s="16" t="s">
        <v>849</v>
      </c>
      <c r="AE271" s="16" t="s">
        <v>855</v>
      </c>
      <c r="AF271" s="16" t="str">
        <f>_xlfn.CONCAT(EjecucionHaciendaDiciembre[[#This Row],[NOMBRE_RUBRO]]," - ",EjecucionHaciendaDiciembre[[#This Row],[NOMBRE_RECURSO]])</f>
        <v>Servicios para la comunidad, sociales y personales - 1.3.3.1.00-RECURSOS DEL BALANCE DE LIBRE DESTINACION</v>
      </c>
      <c r="AH271" s="1"/>
      <c r="AI271" s="1"/>
      <c r="AJ271" s="1"/>
      <c r="AK271" s="1"/>
      <c r="AL271" s="1"/>
      <c r="AM271" s="1"/>
    </row>
    <row r="272" spans="1:39" ht="72" x14ac:dyDescent="0.3">
      <c r="A272" s="3" t="s">
        <v>99</v>
      </c>
      <c r="B272" s="3" t="s">
        <v>165</v>
      </c>
      <c r="C272" s="2" t="s">
        <v>218</v>
      </c>
      <c r="D272" s="2" t="s">
        <v>294</v>
      </c>
      <c r="E272" s="2" t="s">
        <v>229</v>
      </c>
      <c r="F272" s="3" t="s">
        <v>393</v>
      </c>
      <c r="G272" s="2" t="s">
        <v>853</v>
      </c>
      <c r="H272" s="3" t="s">
        <v>792</v>
      </c>
      <c r="I272" s="4">
        <v>0</v>
      </c>
      <c r="J272" s="4">
        <v>766184600</v>
      </c>
      <c r="K272" s="4">
        <v>0</v>
      </c>
      <c r="L272" s="4">
        <v>0</v>
      </c>
      <c r="M272" s="4">
        <v>0</v>
      </c>
      <c r="N272" s="4">
        <v>766184600</v>
      </c>
      <c r="O272" s="4">
        <v>766184600</v>
      </c>
      <c r="P272" s="4">
        <v>766184600</v>
      </c>
      <c r="Q272" s="4">
        <v>760207500</v>
      </c>
      <c r="R272" s="4">
        <v>760207500</v>
      </c>
      <c r="S272" s="4">
        <v>760207500</v>
      </c>
      <c r="T272" s="4">
        <v>0</v>
      </c>
      <c r="U272" s="23" t="s">
        <v>793</v>
      </c>
      <c r="V272" s="24">
        <v>450300400</v>
      </c>
      <c r="W272" s="17" t="s">
        <v>794</v>
      </c>
      <c r="X272" s="17"/>
      <c r="Y272" s="15" t="s">
        <v>779</v>
      </c>
      <c r="Z272" s="17"/>
      <c r="AA272" s="17" t="s">
        <v>833</v>
      </c>
      <c r="AB272" s="81"/>
      <c r="AC272" s="16" t="s">
        <v>716</v>
      </c>
      <c r="AD272" s="16" t="s">
        <v>849</v>
      </c>
      <c r="AE272" s="16" t="s">
        <v>855</v>
      </c>
      <c r="AF272" s="16" t="str">
        <f>_xlfn.CONCAT(EjecucionHaciendaDiciembre[[#This Row],[NOMBRE_RUBRO]]," - ",EjecucionHaciendaDiciembre[[#This Row],[NOMBRE_RECURSO]])</f>
        <v>Servicios para la comunidad, sociales y personales - 1.3.3.1.00-RECURSOS DEL BALANCE DE LIBRE DESTINACION</v>
      </c>
      <c r="AH272" s="1"/>
      <c r="AI272" s="1"/>
      <c r="AJ272" s="1"/>
      <c r="AK272" s="1"/>
      <c r="AL272" s="1"/>
      <c r="AM272" s="1"/>
    </row>
    <row r="273" spans="1:39" ht="28.8" x14ac:dyDescent="0.3">
      <c r="A273" s="48" t="s">
        <v>99</v>
      </c>
      <c r="B273" s="48" t="s">
        <v>165</v>
      </c>
      <c r="C273" s="49" t="s">
        <v>244</v>
      </c>
      <c r="D273" s="49" t="s">
        <v>320</v>
      </c>
      <c r="E273" s="49" t="s">
        <v>224</v>
      </c>
      <c r="F273" s="48" t="s">
        <v>378</v>
      </c>
      <c r="G273" s="49" t="s">
        <v>399</v>
      </c>
      <c r="H273" s="48" t="s">
        <v>539</v>
      </c>
      <c r="I273" s="50">
        <v>0</v>
      </c>
      <c r="J273" s="50">
        <v>2454341706</v>
      </c>
      <c r="K273" s="50">
        <v>0</v>
      </c>
      <c r="L273" s="50">
        <v>0</v>
      </c>
      <c r="M273" s="50">
        <v>0</v>
      </c>
      <c r="N273" s="50">
        <v>2454341706</v>
      </c>
      <c r="O273" s="50">
        <v>2454341706</v>
      </c>
      <c r="P273" s="50">
        <v>2454341706</v>
      </c>
      <c r="Q273" s="50">
        <v>2023009146.0799999</v>
      </c>
      <c r="R273" s="50">
        <v>2021196145.0699999</v>
      </c>
      <c r="S273" s="50">
        <v>2021196145.0699999</v>
      </c>
      <c r="T273" s="50">
        <v>0</v>
      </c>
      <c r="U273" s="51"/>
      <c r="V273" s="52"/>
      <c r="W273" s="17"/>
      <c r="X273" s="17" t="s">
        <v>716</v>
      </c>
      <c r="Y273" s="15"/>
      <c r="Z273" s="17"/>
      <c r="AA273" s="17" t="s">
        <v>716</v>
      </c>
      <c r="AB273" s="81"/>
      <c r="AC273" s="16" t="s">
        <v>716</v>
      </c>
      <c r="AD273" s="16" t="s">
        <v>850</v>
      </c>
      <c r="AE273" s="16" t="s">
        <v>855</v>
      </c>
      <c r="AF273" s="16" t="str">
        <f>_xlfn.CONCAT(EjecucionHaciendaDiciembre[[#This Row],[NOMBRE_RUBRO]]," - ",EjecucionHaciendaDiciembre[[#This Row],[NOMBRE_RECURSO]])</f>
        <v>Servicios para la comunidad, sociales y personales - 1.3.3.7.02-R.B. SGP-SALUD-SALUD PUBLICA</v>
      </c>
      <c r="AH273" s="1"/>
      <c r="AI273" s="1"/>
      <c r="AJ273" s="1"/>
      <c r="AK273" s="1"/>
      <c r="AL273" s="1"/>
      <c r="AM273" s="1"/>
    </row>
    <row r="274" spans="1:39" ht="57.6" customHeight="1" x14ac:dyDescent="0.3">
      <c r="A274" s="3" t="s">
        <v>99</v>
      </c>
      <c r="B274" s="3" t="s">
        <v>165</v>
      </c>
      <c r="C274" s="2" t="s">
        <v>244</v>
      </c>
      <c r="D274" s="2" t="s">
        <v>320</v>
      </c>
      <c r="E274" s="2" t="s">
        <v>224</v>
      </c>
      <c r="F274" s="3" t="s">
        <v>378</v>
      </c>
      <c r="G274" s="2" t="s">
        <v>436</v>
      </c>
      <c r="H274" s="3" t="s">
        <v>574</v>
      </c>
      <c r="I274" s="4">
        <v>0</v>
      </c>
      <c r="J274" s="4">
        <v>600982479.61000001</v>
      </c>
      <c r="K274" s="4">
        <v>0</v>
      </c>
      <c r="L274" s="4">
        <v>0</v>
      </c>
      <c r="M274" s="4">
        <v>0</v>
      </c>
      <c r="N274" s="4">
        <v>600982479.61000001</v>
      </c>
      <c r="O274" s="4">
        <v>600982479.61000001</v>
      </c>
      <c r="P274" s="4">
        <v>600982479.61000001</v>
      </c>
      <c r="Q274" s="4">
        <v>600982479.61000001</v>
      </c>
      <c r="R274" s="4">
        <v>600982479.61000001</v>
      </c>
      <c r="S274" s="4">
        <v>600982479.61000001</v>
      </c>
      <c r="T274" s="4">
        <v>0</v>
      </c>
      <c r="U274" s="23" t="s">
        <v>575</v>
      </c>
      <c r="V274" s="31">
        <v>190504300</v>
      </c>
      <c r="W274" s="17"/>
      <c r="X274" s="17" t="s">
        <v>750</v>
      </c>
      <c r="Y274" s="15" t="s">
        <v>779</v>
      </c>
      <c r="Z274" s="17">
        <v>2024</v>
      </c>
      <c r="AA274" s="17" t="s">
        <v>716</v>
      </c>
      <c r="AB274" s="81">
        <v>2024</v>
      </c>
      <c r="AC274" s="16" t="s">
        <v>716</v>
      </c>
      <c r="AD274" s="16" t="s">
        <v>850</v>
      </c>
      <c r="AE274" s="16" t="s">
        <v>855</v>
      </c>
      <c r="AF274" s="16" t="str">
        <f>_xlfn.CONCAT(EjecucionHaciendaDiciembre[[#This Row],[NOMBRE_RUBRO]]," - ",EjecucionHaciendaDiciembre[[#This Row],[NOMBRE_RECURSO]])</f>
        <v>Servicios para la comunidad, sociales y personales - 1.3.3.7.02-R.B. SGP-SALUD-SALUD PUBLICA</v>
      </c>
      <c r="AH274" s="1"/>
      <c r="AI274" s="1"/>
      <c r="AJ274" s="1"/>
      <c r="AK274" s="1"/>
      <c r="AL274" s="1"/>
      <c r="AM274" s="1"/>
    </row>
    <row r="275" spans="1:39" ht="43.2" x14ac:dyDescent="0.3">
      <c r="A275" s="3" t="s">
        <v>99</v>
      </c>
      <c r="B275" s="3" t="s">
        <v>165</v>
      </c>
      <c r="C275" s="2" t="s">
        <v>244</v>
      </c>
      <c r="D275" s="2" t="s">
        <v>320</v>
      </c>
      <c r="E275" s="2" t="s">
        <v>224</v>
      </c>
      <c r="F275" s="3" t="s">
        <v>378</v>
      </c>
      <c r="G275" s="2" t="s">
        <v>810</v>
      </c>
      <c r="H275" s="3" t="s">
        <v>809</v>
      </c>
      <c r="I275" s="4">
        <v>0</v>
      </c>
      <c r="J275" s="4">
        <v>33437577</v>
      </c>
      <c r="K275" s="4">
        <v>0</v>
      </c>
      <c r="L275" s="4">
        <v>0</v>
      </c>
      <c r="M275" s="4">
        <v>0</v>
      </c>
      <c r="N275" s="4">
        <v>33437577</v>
      </c>
      <c r="O275" s="4">
        <v>33437577</v>
      </c>
      <c r="P275" s="4">
        <v>33437577</v>
      </c>
      <c r="Q275" s="4">
        <v>33437577</v>
      </c>
      <c r="R275" s="4">
        <v>0</v>
      </c>
      <c r="S275" s="4">
        <v>0</v>
      </c>
      <c r="T275" s="4">
        <v>0</v>
      </c>
      <c r="U275" s="23"/>
      <c r="V275" s="24"/>
      <c r="W275" s="17"/>
      <c r="X275" s="17" t="s">
        <v>716</v>
      </c>
      <c r="Y275" s="15"/>
      <c r="Z275" s="17">
        <v>2024</v>
      </c>
      <c r="AA275" s="17" t="s">
        <v>833</v>
      </c>
      <c r="AB275" s="81">
        <v>2024</v>
      </c>
      <c r="AC275" s="16" t="s">
        <v>716</v>
      </c>
      <c r="AD275" s="16" t="s">
        <v>850</v>
      </c>
      <c r="AE275" s="16" t="s">
        <v>716</v>
      </c>
      <c r="AF275" s="16" t="str">
        <f>_xlfn.CONCAT(EjecucionHaciendaDiciembre[[#This Row],[NOMBRE_RUBRO]]," - ",EjecucionHaciendaDiciembre[[#This Row],[NOMBRE_RECURSO]])</f>
        <v>Servicios para la comunidad, sociales y personales - 1.3.3.7.02-R.B. SGP-SALUD-SALUD PUBLICA</v>
      </c>
      <c r="AH275" s="1"/>
      <c r="AI275" s="1"/>
      <c r="AJ275" s="1"/>
      <c r="AK275" s="1"/>
      <c r="AL275" s="1"/>
      <c r="AM275" s="1"/>
    </row>
    <row r="276" spans="1:39" ht="28.8" x14ac:dyDescent="0.3">
      <c r="A276" s="3" t="s">
        <v>99</v>
      </c>
      <c r="B276" s="3" t="s">
        <v>165</v>
      </c>
      <c r="C276" s="2" t="s">
        <v>252</v>
      </c>
      <c r="D276" s="2" t="s">
        <v>328</v>
      </c>
      <c r="E276" s="2" t="s">
        <v>373</v>
      </c>
      <c r="F276" s="3" t="s">
        <v>388</v>
      </c>
      <c r="G276" s="2" t="s">
        <v>399</v>
      </c>
      <c r="H276" s="3"/>
      <c r="I276" s="4">
        <v>0</v>
      </c>
      <c r="J276" s="4">
        <v>10520000</v>
      </c>
      <c r="K276" s="4">
        <v>0</v>
      </c>
      <c r="L276" s="4">
        <v>0</v>
      </c>
      <c r="M276" s="4">
        <v>0</v>
      </c>
      <c r="N276" s="4">
        <v>10520000</v>
      </c>
      <c r="O276" s="4">
        <v>10520000</v>
      </c>
      <c r="P276" s="4">
        <v>10520000</v>
      </c>
      <c r="Q276" s="4">
        <v>2000000</v>
      </c>
      <c r="R276" s="4">
        <v>2000000</v>
      </c>
      <c r="S276" s="4">
        <v>2000000</v>
      </c>
      <c r="T276" s="4">
        <v>0</v>
      </c>
      <c r="U276" s="23"/>
      <c r="V276" s="24"/>
      <c r="W276" s="17" t="s">
        <v>805</v>
      </c>
      <c r="X276" s="17" t="s">
        <v>716</v>
      </c>
      <c r="Y276" s="15"/>
      <c r="Z276" s="17"/>
      <c r="AA276" s="17" t="s">
        <v>716</v>
      </c>
      <c r="AB276" s="81"/>
      <c r="AC276" s="16" t="s">
        <v>716</v>
      </c>
      <c r="AD276" s="16" t="s">
        <v>848</v>
      </c>
      <c r="AE276" s="16" t="s">
        <v>855</v>
      </c>
      <c r="AF276" s="16" t="str">
        <f>_xlfn.CONCAT(EjecucionHaciendaDiciembre[[#This Row],[NOMBRE_RUBRO]]," - ",EjecucionHaciendaDiciembre[[#This Row],[NOMBRE_RECURSO]])</f>
        <v>Servicios para la comunidad, sociales y personales - 1.3.3.4.15-R.B.DERECHOS DE TRANSITO</v>
      </c>
      <c r="AH276" s="1"/>
      <c r="AI276" s="1"/>
      <c r="AJ276" s="1"/>
      <c r="AK276" s="1"/>
      <c r="AL276" s="1"/>
      <c r="AM276" s="1"/>
    </row>
    <row r="277" spans="1:39" ht="43.2" x14ac:dyDescent="0.3">
      <c r="A277" s="3" t="s">
        <v>99</v>
      </c>
      <c r="B277" s="3" t="s">
        <v>165</v>
      </c>
      <c r="C277" s="2" t="s">
        <v>253</v>
      </c>
      <c r="D277" s="2" t="s">
        <v>329</v>
      </c>
      <c r="E277" s="2" t="s">
        <v>19</v>
      </c>
      <c r="F277" s="3" t="s">
        <v>381</v>
      </c>
      <c r="G277" s="2" t="s">
        <v>399</v>
      </c>
      <c r="H277" s="3"/>
      <c r="I277" s="4">
        <v>141348550</v>
      </c>
      <c r="J277" s="4">
        <v>0</v>
      </c>
      <c r="K277" s="4">
        <v>0</v>
      </c>
      <c r="L277" s="4">
        <v>0</v>
      </c>
      <c r="M277" s="4">
        <v>0</v>
      </c>
      <c r="N277" s="4">
        <v>141348550</v>
      </c>
      <c r="O277" s="4">
        <v>141348550</v>
      </c>
      <c r="P277" s="4">
        <v>141348550</v>
      </c>
      <c r="Q277" s="4">
        <v>141348550</v>
      </c>
      <c r="R277" s="4">
        <v>48015200</v>
      </c>
      <c r="S277" s="4">
        <v>48015200</v>
      </c>
      <c r="T277" s="4">
        <v>0</v>
      </c>
      <c r="U277" s="23"/>
      <c r="V277" s="24"/>
      <c r="W277" s="17" t="s">
        <v>796</v>
      </c>
      <c r="X277" s="17" t="s">
        <v>716</v>
      </c>
      <c r="Y277" s="15"/>
      <c r="Z277" s="17"/>
      <c r="AA277" s="17" t="s">
        <v>716</v>
      </c>
      <c r="AB277" s="81"/>
      <c r="AC277" s="16" t="s">
        <v>716</v>
      </c>
      <c r="AD277" s="16" t="s">
        <v>849</v>
      </c>
      <c r="AE277" s="16" t="s">
        <v>855</v>
      </c>
      <c r="AF277" s="16" t="str">
        <f>_xlfn.CONCAT(EjecucionHaciendaDiciembre[[#This Row],[NOMBRE_RUBRO]]," - ",EjecucionHaciendaDiciembre[[#This Row],[NOMBRE_RECURSO]])</f>
        <v>Servicios para la comunidad, sociales y personales - 1.3.3.5.04- R.B. OTRAS TRANSFERENCIAS ANTIGUO SISTEMA DE REGALIAS</v>
      </c>
      <c r="AH277" s="30"/>
      <c r="AI277" s="30"/>
      <c r="AJ277" s="30"/>
      <c r="AK277" s="30"/>
      <c r="AL277" s="30"/>
      <c r="AM277" s="30"/>
    </row>
    <row r="278" spans="1:39" ht="28.8" x14ac:dyDescent="0.3">
      <c r="A278" s="3" t="s">
        <v>99</v>
      </c>
      <c r="B278" s="3" t="s">
        <v>165</v>
      </c>
      <c r="C278" s="2" t="s">
        <v>254</v>
      </c>
      <c r="D278" s="2" t="s">
        <v>330</v>
      </c>
      <c r="E278" s="2" t="s">
        <v>370</v>
      </c>
      <c r="F278" s="3" t="s">
        <v>384</v>
      </c>
      <c r="G278" s="2" t="s">
        <v>399</v>
      </c>
      <c r="H278" s="3"/>
      <c r="I278" s="4">
        <v>0</v>
      </c>
      <c r="J278" s="4">
        <v>3482419</v>
      </c>
      <c r="K278" s="4">
        <v>0</v>
      </c>
      <c r="L278" s="4">
        <v>0</v>
      </c>
      <c r="M278" s="4">
        <v>0</v>
      </c>
      <c r="N278" s="4">
        <v>3482419</v>
      </c>
      <c r="O278" s="4">
        <v>3482419</v>
      </c>
      <c r="P278" s="4">
        <v>3482419</v>
      </c>
      <c r="Q278" s="4">
        <v>2933675</v>
      </c>
      <c r="R278" s="4">
        <v>2933675</v>
      </c>
      <c r="S278" s="4">
        <v>2933675</v>
      </c>
      <c r="T278" s="4">
        <v>0</v>
      </c>
      <c r="U278" s="23"/>
      <c r="V278" s="24"/>
      <c r="W278" s="17" t="s">
        <v>805</v>
      </c>
      <c r="X278" s="17" t="s">
        <v>716</v>
      </c>
      <c r="Y278" s="15"/>
      <c r="Z278" s="17"/>
      <c r="AA278" s="17" t="s">
        <v>716</v>
      </c>
      <c r="AB278" s="81"/>
      <c r="AC278" s="16" t="s">
        <v>716</v>
      </c>
      <c r="AD278" s="16" t="s">
        <v>848</v>
      </c>
      <c r="AE278" s="16" t="s">
        <v>855</v>
      </c>
      <c r="AF278" s="16" t="str">
        <f>_xlfn.CONCAT(EjecucionHaciendaDiciembre[[#This Row],[NOMBRE_RUBRO]]," - ",EjecucionHaciendaDiciembre[[#This Row],[NOMBRE_RECURSO]])</f>
        <v>Servicios para la comunidad, sociales y personales - 1.3.3.2.00-RECURSOS DEL BALANCE DE ACPM</v>
      </c>
      <c r="AH278" s="1"/>
      <c r="AI278" s="1"/>
      <c r="AJ278" s="1"/>
      <c r="AK278" s="1"/>
      <c r="AL278" s="1"/>
      <c r="AM278" s="1"/>
    </row>
    <row r="279" spans="1:39" ht="43.2" x14ac:dyDescent="0.3">
      <c r="A279" s="3" t="s">
        <v>99</v>
      </c>
      <c r="B279" s="3" t="s">
        <v>165</v>
      </c>
      <c r="C279" s="2" t="s">
        <v>255</v>
      </c>
      <c r="D279" s="2" t="s">
        <v>331</v>
      </c>
      <c r="E279" s="2" t="s">
        <v>371</v>
      </c>
      <c r="F279" s="3" t="s">
        <v>385</v>
      </c>
      <c r="G279" s="2" t="s">
        <v>399</v>
      </c>
      <c r="H279" s="3" t="s">
        <v>632</v>
      </c>
      <c r="I279" s="4">
        <v>0</v>
      </c>
      <c r="J279" s="4">
        <v>13117334</v>
      </c>
      <c r="K279" s="4">
        <v>0</v>
      </c>
      <c r="L279" s="4">
        <v>0</v>
      </c>
      <c r="M279" s="4">
        <v>0</v>
      </c>
      <c r="N279" s="4">
        <v>13117334</v>
      </c>
      <c r="O279" s="4">
        <v>13117334</v>
      </c>
      <c r="P279" s="4">
        <v>13117334</v>
      </c>
      <c r="Q279" s="4">
        <v>5133333</v>
      </c>
      <c r="R279" s="4">
        <v>5133333</v>
      </c>
      <c r="S279" s="4">
        <v>5133333</v>
      </c>
      <c r="T279" s="4">
        <v>0</v>
      </c>
      <c r="U279" s="23"/>
      <c r="V279" s="24"/>
      <c r="W279" s="59" t="s">
        <v>805</v>
      </c>
      <c r="X279" s="17" t="s">
        <v>716</v>
      </c>
      <c r="Y279" s="15"/>
      <c r="Z279" s="17"/>
      <c r="AA279" s="17" t="s">
        <v>716</v>
      </c>
      <c r="AB279" s="81"/>
      <c r="AC279" s="16" t="s">
        <v>716</v>
      </c>
      <c r="AD279" s="16" t="s">
        <v>716</v>
      </c>
      <c r="AE279" s="16" t="s">
        <v>855</v>
      </c>
      <c r="AF279" s="16" t="str">
        <f>_xlfn.CONCAT(EjecucionHaciendaDiciembre[[#This Row],[NOMBRE_RUBRO]]," - ",EjecucionHaciendaDiciembre[[#This Row],[NOMBRE_RECURSO]])</f>
        <v>Servicios para la comunidad, sociales y personales - 1.3.3.11.07-R.B. TRANSFERENCIAS ANTICONTRABANDO</v>
      </c>
      <c r="AH279" s="1"/>
      <c r="AI279" s="1"/>
      <c r="AJ279" s="1"/>
      <c r="AK279" s="1"/>
      <c r="AL279" s="1"/>
      <c r="AM279" s="1"/>
    </row>
    <row r="280" spans="1:39" ht="43.2" x14ac:dyDescent="0.3">
      <c r="A280" s="3" t="s">
        <v>99</v>
      </c>
      <c r="B280" s="3" t="s">
        <v>165</v>
      </c>
      <c r="C280" s="2" t="s">
        <v>219</v>
      </c>
      <c r="D280" s="2" t="s">
        <v>295</v>
      </c>
      <c r="E280" s="2" t="s">
        <v>374</v>
      </c>
      <c r="F280" s="3" t="s">
        <v>389</v>
      </c>
      <c r="G280" s="2" t="s">
        <v>456</v>
      </c>
      <c r="H280" s="3" t="s">
        <v>564</v>
      </c>
      <c r="I280" s="4">
        <v>0</v>
      </c>
      <c r="J280" s="4">
        <v>61189382</v>
      </c>
      <c r="K280" s="4">
        <v>0</v>
      </c>
      <c r="L280" s="4">
        <v>0</v>
      </c>
      <c r="M280" s="4">
        <v>0</v>
      </c>
      <c r="N280" s="4">
        <v>61189382</v>
      </c>
      <c r="O280" s="4">
        <v>61189382</v>
      </c>
      <c r="P280" s="4">
        <v>61189382</v>
      </c>
      <c r="Q280" s="4">
        <v>8316666</v>
      </c>
      <c r="R280" s="4">
        <v>8316666</v>
      </c>
      <c r="S280" s="4">
        <v>8316666</v>
      </c>
      <c r="T280" s="4">
        <v>0</v>
      </c>
      <c r="U280" s="23" t="s">
        <v>719</v>
      </c>
      <c r="V280" s="31">
        <v>230202400</v>
      </c>
      <c r="W280" s="17" t="s">
        <v>830</v>
      </c>
      <c r="X280" s="17" t="s">
        <v>748</v>
      </c>
      <c r="Y280" s="15" t="s">
        <v>779</v>
      </c>
      <c r="Z280" s="17">
        <v>2024</v>
      </c>
      <c r="AA280" s="17" t="s">
        <v>716</v>
      </c>
      <c r="AB280" s="81">
        <v>2024</v>
      </c>
      <c r="AC280" s="16" t="s">
        <v>716</v>
      </c>
      <c r="AD280" s="16" t="s">
        <v>849</v>
      </c>
      <c r="AE280" s="16" t="s">
        <v>855</v>
      </c>
      <c r="AF280" s="16" t="str">
        <f>_xlfn.CONCAT(EjecucionHaciendaDiciembre[[#This Row],[NOMBRE_RUBRO]]," - ",EjecucionHaciendaDiciembre[[#This Row],[NOMBRE_RECURSO]])</f>
        <v>Servicios para la comunidad, sociales y personales - 1.3.2.3.11-OTROS RENDIMIENTOS FINANCIEROS ICLD</v>
      </c>
      <c r="AH280" s="1"/>
      <c r="AI280" s="1"/>
      <c r="AJ280" s="1"/>
      <c r="AK280" s="1"/>
      <c r="AL280" s="1"/>
      <c r="AM280" s="1"/>
    </row>
    <row r="281" spans="1:39" ht="72" x14ac:dyDescent="0.3">
      <c r="A281" s="25" t="s">
        <v>99</v>
      </c>
      <c r="B281" s="25" t="s">
        <v>165</v>
      </c>
      <c r="C281" s="26" t="s">
        <v>219</v>
      </c>
      <c r="D281" s="26" t="s">
        <v>295</v>
      </c>
      <c r="E281" s="26" t="s">
        <v>270</v>
      </c>
      <c r="F281" s="25" t="s">
        <v>391</v>
      </c>
      <c r="G281" s="26" t="s">
        <v>519</v>
      </c>
      <c r="H281" s="25" t="s">
        <v>705</v>
      </c>
      <c r="I281" s="27">
        <v>0</v>
      </c>
      <c r="J281" s="27">
        <v>75000000</v>
      </c>
      <c r="K281" s="27">
        <v>0</v>
      </c>
      <c r="L281" s="27">
        <v>0</v>
      </c>
      <c r="M281" s="27">
        <v>0</v>
      </c>
      <c r="N281" s="27">
        <v>75000000</v>
      </c>
      <c r="O281" s="27">
        <v>0</v>
      </c>
      <c r="P281" s="27">
        <v>0</v>
      </c>
      <c r="Q281" s="27">
        <v>0</v>
      </c>
      <c r="R281" s="27">
        <v>0</v>
      </c>
      <c r="S281" s="27">
        <v>0</v>
      </c>
      <c r="T281" s="27">
        <v>75000000</v>
      </c>
      <c r="U281" s="28" t="s">
        <v>744</v>
      </c>
      <c r="V281" s="53">
        <v>410402000</v>
      </c>
      <c r="W281" s="17" t="s">
        <v>724</v>
      </c>
      <c r="X281" s="17" t="s">
        <v>755</v>
      </c>
      <c r="Y281" s="15" t="s">
        <v>779</v>
      </c>
      <c r="Z281" s="17">
        <v>2024</v>
      </c>
      <c r="AA281" s="17" t="s">
        <v>716</v>
      </c>
      <c r="AB281" s="81">
        <v>2024</v>
      </c>
      <c r="AC281" s="16" t="s">
        <v>716</v>
      </c>
      <c r="AD281" s="16" t="s">
        <v>849</v>
      </c>
      <c r="AE281" s="16" t="s">
        <v>855</v>
      </c>
      <c r="AF281" s="16" t="str">
        <f>_xlfn.CONCAT(EjecucionHaciendaDiciembre[[#This Row],[NOMBRE_RUBRO]]," - ",EjecucionHaciendaDiciembre[[#This Row],[NOMBRE_RECURSO]])</f>
        <v>Servicios para la comunidad, sociales y personales - 1.3.2.3.11-OTROS RENDIMIENTOS FINANCIEROS ICLD</v>
      </c>
      <c r="AH281" s="1"/>
      <c r="AI281" s="1"/>
      <c r="AJ281" s="1"/>
      <c r="AK281" s="1"/>
      <c r="AL281" s="1"/>
      <c r="AM281" s="1"/>
    </row>
    <row r="282" spans="1:39" ht="57.6" x14ac:dyDescent="0.3">
      <c r="A282" s="3" t="s">
        <v>99</v>
      </c>
      <c r="B282" s="3" t="s">
        <v>165</v>
      </c>
      <c r="C282" s="2" t="s">
        <v>219</v>
      </c>
      <c r="D282" s="2" t="s">
        <v>295</v>
      </c>
      <c r="E282" s="2" t="s">
        <v>229</v>
      </c>
      <c r="F282" s="3" t="s">
        <v>393</v>
      </c>
      <c r="G282" s="2" t="s">
        <v>399</v>
      </c>
      <c r="H282" s="3" t="s">
        <v>795</v>
      </c>
      <c r="I282" s="4">
        <v>0</v>
      </c>
      <c r="J282" s="4">
        <v>450000000</v>
      </c>
      <c r="K282" s="4">
        <v>0</v>
      </c>
      <c r="L282" s="4">
        <v>0</v>
      </c>
      <c r="M282" s="4">
        <v>0</v>
      </c>
      <c r="N282" s="4">
        <v>450000000</v>
      </c>
      <c r="O282" s="4">
        <v>350000000</v>
      </c>
      <c r="P282" s="4">
        <v>350000000</v>
      </c>
      <c r="Q282" s="4">
        <v>194000000</v>
      </c>
      <c r="R282" s="4">
        <v>144200000</v>
      </c>
      <c r="S282" s="4">
        <v>144200000</v>
      </c>
      <c r="T282" s="4">
        <v>100000000</v>
      </c>
      <c r="U282" s="23" t="s">
        <v>793</v>
      </c>
      <c r="V282" s="24">
        <v>450300400</v>
      </c>
      <c r="W282" s="17" t="s">
        <v>794</v>
      </c>
      <c r="X282" s="17" t="s">
        <v>716</v>
      </c>
      <c r="Y282" s="15" t="s">
        <v>779</v>
      </c>
      <c r="Z282" s="17"/>
      <c r="AA282" s="17" t="s">
        <v>833</v>
      </c>
      <c r="AB282" s="81"/>
      <c r="AC282" s="16" t="s">
        <v>716</v>
      </c>
      <c r="AD282" s="16" t="s">
        <v>849</v>
      </c>
      <c r="AE282" s="16" t="s">
        <v>855</v>
      </c>
      <c r="AF282" s="16" t="str">
        <f>_xlfn.CONCAT(EjecucionHaciendaDiciembre[[#This Row],[NOMBRE_RUBRO]]," - ",EjecucionHaciendaDiciembre[[#This Row],[NOMBRE_RECURSO]])</f>
        <v>Servicios para la comunidad, sociales y personales - 1.3.2.3.11-OTROS RENDIMIENTOS FINANCIEROS ICLD</v>
      </c>
      <c r="AH282" s="1"/>
      <c r="AI282" s="1"/>
      <c r="AJ282" s="1"/>
      <c r="AK282" s="1"/>
      <c r="AL282" s="1"/>
      <c r="AM282" s="1"/>
    </row>
    <row r="283" spans="1:39" ht="57.6" x14ac:dyDescent="0.3">
      <c r="A283" s="3" t="s">
        <v>99</v>
      </c>
      <c r="B283" s="3" t="s">
        <v>165</v>
      </c>
      <c r="C283" s="2" t="s">
        <v>219</v>
      </c>
      <c r="D283" s="2" t="s">
        <v>295</v>
      </c>
      <c r="E283" s="2" t="s">
        <v>229</v>
      </c>
      <c r="F283" s="3" t="s">
        <v>393</v>
      </c>
      <c r="G283" s="2" t="s">
        <v>520</v>
      </c>
      <c r="H283" s="3" t="s">
        <v>709</v>
      </c>
      <c r="I283" s="4">
        <v>0</v>
      </c>
      <c r="J283" s="4">
        <v>600000000</v>
      </c>
      <c r="K283" s="4">
        <v>0</v>
      </c>
      <c r="L283" s="4">
        <v>0</v>
      </c>
      <c r="M283" s="4">
        <v>0</v>
      </c>
      <c r="N283" s="4">
        <v>600000000</v>
      </c>
      <c r="O283" s="4">
        <v>600000000</v>
      </c>
      <c r="P283" s="4">
        <v>600000000</v>
      </c>
      <c r="Q283" s="4">
        <v>600000000</v>
      </c>
      <c r="R283" s="4">
        <v>0</v>
      </c>
      <c r="S283" s="4">
        <v>0</v>
      </c>
      <c r="T283" s="4">
        <v>0</v>
      </c>
      <c r="U283" s="23" t="s">
        <v>773</v>
      </c>
      <c r="V283" s="31">
        <v>450302300</v>
      </c>
      <c r="W283" s="17" t="s">
        <v>791</v>
      </c>
      <c r="X283" s="17" t="s">
        <v>749</v>
      </c>
      <c r="Y283" s="15" t="s">
        <v>781</v>
      </c>
      <c r="Z283" s="17">
        <v>2025</v>
      </c>
      <c r="AA283" s="17" t="s">
        <v>716</v>
      </c>
      <c r="AB283" s="81">
        <v>2025</v>
      </c>
      <c r="AC283" s="16" t="s">
        <v>716</v>
      </c>
      <c r="AD283" s="16" t="s">
        <v>849</v>
      </c>
      <c r="AE283" s="16" t="s">
        <v>866</v>
      </c>
      <c r="AF283" s="16" t="str">
        <f>_xlfn.CONCAT(EjecucionHaciendaDiciembre[[#This Row],[NOMBRE_RUBRO]]," - ",EjecucionHaciendaDiciembre[[#This Row],[NOMBRE_RECURSO]])</f>
        <v>Servicios para la comunidad, sociales y personales - 1.3.2.3.11-OTROS RENDIMIENTOS FINANCIEROS ICLD</v>
      </c>
      <c r="AH283" s="1"/>
      <c r="AI283" s="1"/>
      <c r="AJ283" s="1"/>
      <c r="AK283" s="1"/>
      <c r="AL283" s="1"/>
      <c r="AM283" s="1"/>
    </row>
    <row r="284" spans="1:39" ht="28.8" x14ac:dyDescent="0.3">
      <c r="A284" s="3" t="s">
        <v>99</v>
      </c>
      <c r="B284" s="3" t="s">
        <v>165</v>
      </c>
      <c r="C284" s="2" t="s">
        <v>240</v>
      </c>
      <c r="D284" s="2" t="s">
        <v>316</v>
      </c>
      <c r="E284" s="2" t="s">
        <v>244</v>
      </c>
      <c r="F284" s="3" t="s">
        <v>383</v>
      </c>
      <c r="G284" s="2" t="s">
        <v>399</v>
      </c>
      <c r="H284" s="3"/>
      <c r="I284" s="4">
        <v>2716399999.29</v>
      </c>
      <c r="J284" s="4">
        <v>0</v>
      </c>
      <c r="K284" s="4">
        <v>0</v>
      </c>
      <c r="L284" s="4">
        <v>0</v>
      </c>
      <c r="M284" s="4">
        <v>0</v>
      </c>
      <c r="N284" s="4">
        <v>2716399999.29</v>
      </c>
      <c r="O284" s="4">
        <v>6000000</v>
      </c>
      <c r="P284" s="4">
        <v>6000000</v>
      </c>
      <c r="Q284" s="4">
        <v>6000000</v>
      </c>
      <c r="R284" s="4">
        <v>6000000</v>
      </c>
      <c r="S284" s="4">
        <v>6000000</v>
      </c>
      <c r="T284" s="4">
        <v>2710399999.29</v>
      </c>
      <c r="U284" s="23"/>
      <c r="V284" s="24"/>
      <c r="W284" s="17" t="s">
        <v>805</v>
      </c>
      <c r="X284" s="17" t="s">
        <v>716</v>
      </c>
      <c r="Y284" s="15"/>
      <c r="Z284" s="17"/>
      <c r="AA284" s="17" t="s">
        <v>716</v>
      </c>
      <c r="AB284" s="81"/>
      <c r="AC284" s="16" t="s">
        <v>716</v>
      </c>
      <c r="AD284" s="16" t="s">
        <v>848</v>
      </c>
      <c r="AE284" s="16" t="s">
        <v>855</v>
      </c>
      <c r="AF284" s="16" t="str">
        <f>_xlfn.CONCAT(EjecucionHaciendaDiciembre[[#This Row],[NOMBRE_RUBRO]]," - ",EjecucionHaciendaDiciembre[[#This Row],[NOMBRE_RECURSO]])</f>
        <v>Servicios para la comunidad, sociales y personales - 1.2.3.1.15-SOBRETASA FONDO DE SEGURIDAD</v>
      </c>
      <c r="AH284" s="1"/>
      <c r="AI284" s="1"/>
      <c r="AJ284" s="1"/>
      <c r="AK284" s="1"/>
      <c r="AL284" s="1"/>
      <c r="AM284" s="1"/>
    </row>
    <row r="285" spans="1:39" ht="43.2" x14ac:dyDescent="0.3">
      <c r="A285" s="3" t="s">
        <v>99</v>
      </c>
      <c r="B285" s="3" t="s">
        <v>165</v>
      </c>
      <c r="C285" s="2" t="s">
        <v>240</v>
      </c>
      <c r="D285" s="2" t="s">
        <v>316</v>
      </c>
      <c r="E285" s="2" t="s">
        <v>244</v>
      </c>
      <c r="F285" s="3" t="s">
        <v>383</v>
      </c>
      <c r="G285" s="47" t="s">
        <v>521</v>
      </c>
      <c r="H285" s="3" t="s">
        <v>687</v>
      </c>
      <c r="I285" s="4">
        <v>83600000.709999993</v>
      </c>
      <c r="J285" s="4">
        <v>0</v>
      </c>
      <c r="K285" s="4">
        <v>0</v>
      </c>
      <c r="L285" s="4">
        <v>0</v>
      </c>
      <c r="M285" s="4">
        <v>0</v>
      </c>
      <c r="N285" s="4">
        <v>83600000.709999993</v>
      </c>
      <c r="O285" s="4">
        <v>83600000.709999993</v>
      </c>
      <c r="P285" s="4">
        <v>83600000.709999993</v>
      </c>
      <c r="Q285" s="4">
        <v>79815632.659999996</v>
      </c>
      <c r="R285" s="4">
        <v>79815632.659999996</v>
      </c>
      <c r="S285" s="4">
        <v>79815632.659999996</v>
      </c>
      <c r="T285" s="4">
        <v>0</v>
      </c>
      <c r="U285" s="23" t="s">
        <v>774</v>
      </c>
      <c r="V285" s="31">
        <v>450102600</v>
      </c>
      <c r="W285" s="17"/>
      <c r="X285" s="17" t="s">
        <v>748</v>
      </c>
      <c r="Y285" s="15" t="s">
        <v>779</v>
      </c>
      <c r="Z285" s="17">
        <v>2024</v>
      </c>
      <c r="AA285" s="17" t="s">
        <v>716</v>
      </c>
      <c r="AB285" s="81">
        <v>2024</v>
      </c>
      <c r="AC285" s="16" t="s">
        <v>716</v>
      </c>
      <c r="AD285" s="16" t="s">
        <v>848</v>
      </c>
      <c r="AE285" s="16" t="s">
        <v>855</v>
      </c>
      <c r="AF285" s="16" t="str">
        <f>_xlfn.CONCAT(EjecucionHaciendaDiciembre[[#This Row],[NOMBRE_RUBRO]]," - ",EjecucionHaciendaDiciembre[[#This Row],[NOMBRE_RECURSO]])</f>
        <v>Servicios para la comunidad, sociales y personales - 1.2.3.1.15-SOBRETASA FONDO DE SEGURIDAD</v>
      </c>
      <c r="AH285" s="1"/>
      <c r="AI285" s="1"/>
      <c r="AJ285" s="1"/>
      <c r="AK285" s="1"/>
      <c r="AL285" s="1"/>
      <c r="AM285" s="1"/>
    </row>
    <row r="286" spans="1:39" ht="57.6" x14ac:dyDescent="0.3">
      <c r="A286" s="32" t="s">
        <v>99</v>
      </c>
      <c r="B286" s="32" t="s">
        <v>165</v>
      </c>
      <c r="C286" s="33" t="s">
        <v>256</v>
      </c>
      <c r="D286" s="33" t="s">
        <v>332</v>
      </c>
      <c r="E286" s="33" t="s">
        <v>370</v>
      </c>
      <c r="F286" s="32" t="s">
        <v>384</v>
      </c>
      <c r="G286" s="33" t="s">
        <v>399</v>
      </c>
      <c r="H286" s="32"/>
      <c r="I286" s="34">
        <v>0</v>
      </c>
      <c r="J286" s="34">
        <v>3452298971</v>
      </c>
      <c r="K286" s="34">
        <v>0</v>
      </c>
      <c r="L286" s="34">
        <v>0</v>
      </c>
      <c r="M286" s="34">
        <v>0</v>
      </c>
      <c r="N286" s="34">
        <v>3452298971</v>
      </c>
      <c r="O286" s="34">
        <v>0</v>
      </c>
      <c r="P286" s="34">
        <v>0</v>
      </c>
      <c r="Q286" s="34">
        <v>0</v>
      </c>
      <c r="R286" s="34">
        <v>0</v>
      </c>
      <c r="S286" s="34">
        <v>0</v>
      </c>
      <c r="T286" s="34">
        <v>3452298971</v>
      </c>
      <c r="U286" s="35"/>
      <c r="V286" s="85"/>
      <c r="W286" s="17"/>
      <c r="X286" s="17" t="s">
        <v>716</v>
      </c>
      <c r="Y286" s="15"/>
      <c r="Z286" s="17"/>
      <c r="AA286" s="17" t="s">
        <v>716</v>
      </c>
      <c r="AB286" s="81"/>
      <c r="AC286" s="16" t="s">
        <v>716</v>
      </c>
      <c r="AD286" s="16" t="s">
        <v>848</v>
      </c>
      <c r="AE286" s="16" t="s">
        <v>855</v>
      </c>
      <c r="AF286" s="16" t="str">
        <f>_xlfn.CONCAT(EjecucionHaciendaDiciembre[[#This Row],[NOMBRE_RUBRO]]," - ",EjecucionHaciendaDiciembre[[#This Row],[NOMBRE_RECURSO]])</f>
        <v>Servicios para la comunidad, sociales y personales - 1.3.3.5.04-R.B. OTRAS TRANSFERENCIAS CORRIENTES DE OTRAS ENT-NACION</v>
      </c>
      <c r="AH286" s="1"/>
      <c r="AI286" s="1"/>
      <c r="AJ286" s="1"/>
      <c r="AK286" s="1"/>
      <c r="AL286" s="1"/>
      <c r="AM286" s="1"/>
    </row>
    <row r="287" spans="1:39" ht="28.8" x14ac:dyDescent="0.3">
      <c r="A287" s="48" t="s">
        <v>99</v>
      </c>
      <c r="B287" s="48" t="s">
        <v>165</v>
      </c>
      <c r="C287" s="49" t="s">
        <v>257</v>
      </c>
      <c r="D287" s="49" t="s">
        <v>333</v>
      </c>
      <c r="E287" s="49" t="s">
        <v>224</v>
      </c>
      <c r="F287" s="48" t="s">
        <v>378</v>
      </c>
      <c r="G287" s="49" t="s">
        <v>399</v>
      </c>
      <c r="H287" s="48" t="s">
        <v>539</v>
      </c>
      <c r="I287" s="50">
        <v>0</v>
      </c>
      <c r="J287" s="50">
        <v>34680736</v>
      </c>
      <c r="K287" s="50">
        <v>0</v>
      </c>
      <c r="L287" s="50">
        <v>0</v>
      </c>
      <c r="M287" s="50">
        <v>0</v>
      </c>
      <c r="N287" s="50">
        <v>34680736</v>
      </c>
      <c r="O287" s="50">
        <v>34680736</v>
      </c>
      <c r="P287" s="50">
        <v>34680736</v>
      </c>
      <c r="Q287" s="50">
        <v>34680736</v>
      </c>
      <c r="R287" s="50">
        <v>34680736</v>
      </c>
      <c r="S287" s="50">
        <v>34680736</v>
      </c>
      <c r="T287" s="50">
        <v>0</v>
      </c>
      <c r="U287" s="51" t="s">
        <v>776</v>
      </c>
      <c r="V287" s="52">
        <v>190603500</v>
      </c>
      <c r="W287" s="17"/>
      <c r="X287" s="17" t="s">
        <v>716</v>
      </c>
      <c r="Y287" s="15"/>
      <c r="Z287" s="17"/>
      <c r="AA287" s="17" t="s">
        <v>716</v>
      </c>
      <c r="AB287" s="81"/>
      <c r="AC287" s="16" t="s">
        <v>716</v>
      </c>
      <c r="AD287" s="16" t="s">
        <v>848</v>
      </c>
      <c r="AE287" s="16" t="s">
        <v>855</v>
      </c>
      <c r="AF287" s="16" t="str">
        <f>_xlfn.CONCAT(EjecucionHaciendaDiciembre[[#This Row],[NOMBRE_RUBRO]]," - ",EjecucionHaciendaDiciembre[[#This Row],[NOMBRE_RECURSO]])</f>
        <v>Servicios para la comunidad, sociales y personales - 1.3.3.7.02-R.B.SALUD-SUBSIDIO A LA OFERTA</v>
      </c>
      <c r="AH287" s="1"/>
      <c r="AI287" s="1"/>
      <c r="AJ287" s="1"/>
      <c r="AK287" s="1"/>
      <c r="AL287" s="1"/>
      <c r="AM287" s="1"/>
    </row>
    <row r="288" spans="1:39" ht="43.2" x14ac:dyDescent="0.3">
      <c r="A288" s="32" t="s">
        <v>99</v>
      </c>
      <c r="B288" s="32" t="s">
        <v>165</v>
      </c>
      <c r="C288" s="33" t="s">
        <v>258</v>
      </c>
      <c r="D288" s="33" t="s">
        <v>334</v>
      </c>
      <c r="E288" s="33" t="s">
        <v>270</v>
      </c>
      <c r="F288" s="32" t="s">
        <v>391</v>
      </c>
      <c r="G288" s="33" t="s">
        <v>399</v>
      </c>
      <c r="H288" s="32"/>
      <c r="I288" s="34">
        <v>8807372487</v>
      </c>
      <c r="J288" s="34">
        <v>0</v>
      </c>
      <c r="K288" s="34">
        <v>0</v>
      </c>
      <c r="L288" s="34">
        <v>0</v>
      </c>
      <c r="M288" s="34">
        <v>8709252850.2999992</v>
      </c>
      <c r="N288" s="34">
        <v>98119636.700000003</v>
      </c>
      <c r="O288" s="34">
        <v>0</v>
      </c>
      <c r="P288" s="34">
        <v>0</v>
      </c>
      <c r="Q288" s="34">
        <v>0</v>
      </c>
      <c r="R288" s="34">
        <v>0</v>
      </c>
      <c r="S288" s="34">
        <v>0</v>
      </c>
      <c r="T288" s="34">
        <v>98119636.700000003</v>
      </c>
      <c r="U288" s="35"/>
      <c r="V288" s="85"/>
      <c r="W288" s="17"/>
      <c r="X288" s="17" t="s">
        <v>716</v>
      </c>
      <c r="Y288" s="15"/>
      <c r="Z288" s="17"/>
      <c r="AA288" s="17" t="s">
        <v>716</v>
      </c>
      <c r="AB288" s="81"/>
      <c r="AC288" s="16" t="s">
        <v>716</v>
      </c>
      <c r="AD288" s="16" t="s">
        <v>848</v>
      </c>
      <c r="AE288" s="16" t="s">
        <v>855</v>
      </c>
      <c r="AF288" s="16" t="str">
        <f>_xlfn.CONCAT(EjecucionHaciendaDiciembre[[#This Row],[NOMBRE_RUBRO]]," - ",EjecucionHaciendaDiciembre[[#This Row],[NOMBRE_RECURSO]])</f>
        <v>Servicios para la comunidad, sociales y personales - 1.2.3.1.19 - ESTAMPILLAS PARA EL BIENESTAR DEL ADULTO MAYOR</v>
      </c>
      <c r="AH288" s="1"/>
      <c r="AI288" s="1"/>
      <c r="AJ288" s="1"/>
      <c r="AK288" s="1"/>
      <c r="AL288" s="1"/>
      <c r="AM288" s="1"/>
    </row>
    <row r="289" spans="1:39" ht="87.6" customHeight="1" x14ac:dyDescent="0.3">
      <c r="A289" s="3" t="s">
        <v>99</v>
      </c>
      <c r="B289" s="3" t="s">
        <v>165</v>
      </c>
      <c r="C289" s="2" t="s">
        <v>258</v>
      </c>
      <c r="D289" s="2" t="s">
        <v>334</v>
      </c>
      <c r="E289" s="2" t="s">
        <v>270</v>
      </c>
      <c r="F289" s="3" t="s">
        <v>391</v>
      </c>
      <c r="G289" s="2" t="s">
        <v>522</v>
      </c>
      <c r="H289" s="3" t="s">
        <v>706</v>
      </c>
      <c r="I289" s="4">
        <v>0</v>
      </c>
      <c r="J289" s="4">
        <v>0</v>
      </c>
      <c r="K289" s="4">
        <v>0</v>
      </c>
      <c r="L289" s="4">
        <v>1627113284.52</v>
      </c>
      <c r="M289" s="4">
        <v>0</v>
      </c>
      <c r="N289" s="4">
        <v>1627113284.52</v>
      </c>
      <c r="O289" s="4">
        <v>1627113284.52</v>
      </c>
      <c r="P289" s="4">
        <v>1627113284.52</v>
      </c>
      <c r="Q289" s="4">
        <v>1579008111</v>
      </c>
      <c r="R289" s="4">
        <v>0</v>
      </c>
      <c r="S289" s="4">
        <v>0</v>
      </c>
      <c r="T289" s="4">
        <v>0</v>
      </c>
      <c r="U289" s="23" t="s">
        <v>763</v>
      </c>
      <c r="V289" s="31">
        <v>410400800</v>
      </c>
      <c r="W289" s="17" t="s">
        <v>821</v>
      </c>
      <c r="X289" s="17" t="s">
        <v>761</v>
      </c>
      <c r="Y289" s="15" t="s">
        <v>784</v>
      </c>
      <c r="Z289" s="17" t="s">
        <v>784</v>
      </c>
      <c r="AA289" s="17" t="s">
        <v>716</v>
      </c>
      <c r="AB289" s="81" t="s">
        <v>784</v>
      </c>
      <c r="AC289" s="16" t="s">
        <v>716</v>
      </c>
      <c r="AD289" s="16" t="s">
        <v>848</v>
      </c>
      <c r="AE289" s="16" t="s">
        <v>885</v>
      </c>
      <c r="AF289" s="16" t="str">
        <f>_xlfn.CONCAT(EjecucionHaciendaDiciembre[[#This Row],[NOMBRE_RUBRO]]," - ",EjecucionHaciendaDiciembre[[#This Row],[NOMBRE_RECURSO]])</f>
        <v>Servicios para la comunidad, sociales y personales - 1.2.3.1.19 - ESTAMPILLAS PARA EL BIENESTAR DEL ADULTO MAYOR</v>
      </c>
      <c r="AH289" s="1"/>
      <c r="AI289" s="1"/>
      <c r="AJ289" s="1"/>
      <c r="AK289" s="1"/>
      <c r="AL289" s="1"/>
      <c r="AM289" s="1"/>
    </row>
    <row r="290" spans="1:39" ht="72" customHeight="1" x14ac:dyDescent="0.3">
      <c r="A290" s="3" t="s">
        <v>99</v>
      </c>
      <c r="B290" s="3" t="s">
        <v>165</v>
      </c>
      <c r="C290" s="2" t="s">
        <v>258</v>
      </c>
      <c r="D290" s="2" t="s">
        <v>334</v>
      </c>
      <c r="E290" s="2" t="s">
        <v>270</v>
      </c>
      <c r="F290" s="3" t="s">
        <v>391</v>
      </c>
      <c r="G290" s="2" t="s">
        <v>523</v>
      </c>
      <c r="H290" s="3" t="s">
        <v>707</v>
      </c>
      <c r="I290" s="4">
        <v>0</v>
      </c>
      <c r="J290" s="4">
        <v>0</v>
      </c>
      <c r="K290" s="4">
        <v>0</v>
      </c>
      <c r="L290" s="4">
        <v>7082139565.7799997</v>
      </c>
      <c r="M290" s="4">
        <v>0</v>
      </c>
      <c r="N290" s="4">
        <v>7082139565.7799997</v>
      </c>
      <c r="O290" s="4">
        <v>7082139565.7799997</v>
      </c>
      <c r="P290" s="4">
        <v>7082139565.7799997</v>
      </c>
      <c r="Q290" s="4">
        <v>7082138484.5</v>
      </c>
      <c r="R290" s="4">
        <v>7058775924.3999996</v>
      </c>
      <c r="S290" s="4">
        <v>7058775924.3999996</v>
      </c>
      <c r="T290" s="4">
        <v>0</v>
      </c>
      <c r="U290" s="23" t="s">
        <v>763</v>
      </c>
      <c r="V290" s="31">
        <v>410400800</v>
      </c>
      <c r="W290" s="17" t="s">
        <v>789</v>
      </c>
      <c r="X290" s="17" t="s">
        <v>817</v>
      </c>
      <c r="Y290" s="15" t="s">
        <v>779</v>
      </c>
      <c r="Z290" s="17" t="s">
        <v>832</v>
      </c>
      <c r="AA290" s="17" t="s">
        <v>833</v>
      </c>
      <c r="AB290" s="81">
        <v>2024</v>
      </c>
      <c r="AC290" s="16" t="s">
        <v>833</v>
      </c>
      <c r="AD290" s="16" t="s">
        <v>848</v>
      </c>
      <c r="AE290" s="16" t="s">
        <v>886</v>
      </c>
      <c r="AF290" s="16" t="str">
        <f>_xlfn.CONCAT(EjecucionHaciendaDiciembre[[#This Row],[NOMBRE_RUBRO]]," - ",EjecucionHaciendaDiciembre[[#This Row],[NOMBRE_RECURSO]])</f>
        <v>Servicios para la comunidad, sociales y personales - 1.2.3.1.19 - ESTAMPILLAS PARA EL BIENESTAR DEL ADULTO MAYOR</v>
      </c>
      <c r="AH290" s="1"/>
      <c r="AI290" s="1"/>
      <c r="AJ290" s="1"/>
      <c r="AK290" s="1"/>
      <c r="AL290" s="1"/>
      <c r="AM290" s="1"/>
    </row>
    <row r="291" spans="1:39" ht="140.4" customHeight="1" x14ac:dyDescent="0.3">
      <c r="A291" s="3" t="s">
        <v>99</v>
      </c>
      <c r="B291" s="3" t="s">
        <v>165</v>
      </c>
      <c r="C291" s="2" t="s">
        <v>259</v>
      </c>
      <c r="D291" s="2" t="s">
        <v>335</v>
      </c>
      <c r="E291" s="2" t="s">
        <v>19</v>
      </c>
      <c r="F291" s="3" t="s">
        <v>381</v>
      </c>
      <c r="G291" s="2" t="s">
        <v>399</v>
      </c>
      <c r="H291" s="3"/>
      <c r="I291" s="4">
        <v>0</v>
      </c>
      <c r="J291" s="4">
        <v>55508748.950000003</v>
      </c>
      <c r="K291" s="4">
        <v>0</v>
      </c>
      <c r="L291" s="4">
        <v>0</v>
      </c>
      <c r="M291" s="4">
        <v>0</v>
      </c>
      <c r="N291" s="4">
        <v>55508748.950000003</v>
      </c>
      <c r="O291" s="4">
        <v>55508748.950000003</v>
      </c>
      <c r="P291" s="4">
        <v>55508748.950000003</v>
      </c>
      <c r="Q291" s="4">
        <v>39741151</v>
      </c>
      <c r="R291" s="4">
        <v>39741151</v>
      </c>
      <c r="S291" s="4">
        <v>39741151</v>
      </c>
      <c r="T291" s="4">
        <v>0</v>
      </c>
      <c r="U291" s="23"/>
      <c r="V291" s="24"/>
      <c r="W291" s="17" t="s">
        <v>796</v>
      </c>
      <c r="X291" s="17" t="s">
        <v>716</v>
      </c>
      <c r="Y291" s="15"/>
      <c r="Z291" s="17"/>
      <c r="AA291" s="17" t="s">
        <v>716</v>
      </c>
      <c r="AB291" s="81"/>
      <c r="AC291" s="16" t="s">
        <v>716</v>
      </c>
      <c r="AD291" s="16" t="s">
        <v>848</v>
      </c>
      <c r="AE291" s="16" t="s">
        <v>855</v>
      </c>
      <c r="AF291" s="16" t="str">
        <f>_xlfn.CONCAT(EjecucionHaciendaDiciembre[[#This Row],[NOMBRE_RUBRO]]," - ",EjecucionHaciendaDiciembre[[#This Row],[NOMBRE_RECURSO]])</f>
        <v>Servicios para la comunidad, sociales y personales - 1.3.3.11.07-R.B. TRANSFERENCIAS NACION -FOME</v>
      </c>
      <c r="AH291" s="30"/>
      <c r="AI291" s="30"/>
      <c r="AJ291" s="30"/>
      <c r="AK291" s="30"/>
      <c r="AL291" s="30"/>
      <c r="AM291" s="30"/>
    </row>
    <row r="292" spans="1:39" ht="28.8" x14ac:dyDescent="0.3">
      <c r="A292" s="48" t="s">
        <v>99</v>
      </c>
      <c r="B292" s="48" t="s">
        <v>165</v>
      </c>
      <c r="C292" s="49" t="s">
        <v>221</v>
      </c>
      <c r="D292" s="49" t="s">
        <v>297</v>
      </c>
      <c r="E292" s="49" t="s">
        <v>224</v>
      </c>
      <c r="F292" s="48" t="s">
        <v>378</v>
      </c>
      <c r="G292" s="49" t="s">
        <v>399</v>
      </c>
      <c r="H292" s="48" t="s">
        <v>539</v>
      </c>
      <c r="I292" s="50">
        <v>0</v>
      </c>
      <c r="J292" s="50">
        <v>61207304</v>
      </c>
      <c r="K292" s="50">
        <v>0</v>
      </c>
      <c r="L292" s="50">
        <v>0</v>
      </c>
      <c r="M292" s="50">
        <v>0</v>
      </c>
      <c r="N292" s="50">
        <v>61207304</v>
      </c>
      <c r="O292" s="50">
        <v>0</v>
      </c>
      <c r="P292" s="50">
        <v>0</v>
      </c>
      <c r="Q292" s="50">
        <v>0</v>
      </c>
      <c r="R292" s="50">
        <v>0</v>
      </c>
      <c r="S292" s="50">
        <v>0</v>
      </c>
      <c r="T292" s="50">
        <v>61207304</v>
      </c>
      <c r="U292" s="51"/>
      <c r="V292" s="52"/>
      <c r="W292" s="17" t="s">
        <v>806</v>
      </c>
      <c r="X292" s="17" t="s">
        <v>716</v>
      </c>
      <c r="Y292" s="15"/>
      <c r="Z292" s="17"/>
      <c r="AA292" s="17" t="s">
        <v>716</v>
      </c>
      <c r="AB292" s="81"/>
      <c r="AC292" s="16" t="s">
        <v>716</v>
      </c>
      <c r="AD292" s="16" t="s">
        <v>848</v>
      </c>
      <c r="AE292" s="16" t="s">
        <v>855</v>
      </c>
      <c r="AF292" s="16" t="str">
        <f>_xlfn.CONCAT(EjecucionHaciendaDiciembre[[#This Row],[NOMBRE_RUBRO]]," - ",EjecucionHaciendaDiciembre[[#This Row],[NOMBRE_RECURSO]])</f>
        <v>Servicios para la comunidad, sociales y personales - 1.3.3.3.20-R.B. OTROS GASTOS RETHUS</v>
      </c>
      <c r="AH292" s="1"/>
      <c r="AI292" s="1"/>
      <c r="AJ292" s="1"/>
      <c r="AK292" s="1"/>
      <c r="AL292" s="1"/>
      <c r="AM292" s="1"/>
    </row>
    <row r="293" spans="1:39" ht="28.8" x14ac:dyDescent="0.3">
      <c r="A293" s="48" t="s">
        <v>99</v>
      </c>
      <c r="B293" s="48" t="s">
        <v>165</v>
      </c>
      <c r="C293" s="49" t="s">
        <v>217</v>
      </c>
      <c r="D293" s="49" t="s">
        <v>293</v>
      </c>
      <c r="E293" s="49" t="s">
        <v>224</v>
      </c>
      <c r="F293" s="48" t="s">
        <v>378</v>
      </c>
      <c r="G293" s="49" t="s">
        <v>399</v>
      </c>
      <c r="H293" s="48" t="s">
        <v>539</v>
      </c>
      <c r="I293" s="50">
        <v>0</v>
      </c>
      <c r="J293" s="50">
        <v>27547974</v>
      </c>
      <c r="K293" s="50">
        <v>0</v>
      </c>
      <c r="L293" s="50">
        <v>0</v>
      </c>
      <c r="M293" s="50">
        <v>0</v>
      </c>
      <c r="N293" s="50">
        <v>27547974</v>
      </c>
      <c r="O293" s="50">
        <v>27547974</v>
      </c>
      <c r="P293" s="50">
        <v>27547974</v>
      </c>
      <c r="Q293" s="50">
        <v>27475022</v>
      </c>
      <c r="R293" s="50">
        <v>27475022</v>
      </c>
      <c r="S293" s="50">
        <v>27475022</v>
      </c>
      <c r="T293" s="50">
        <v>0</v>
      </c>
      <c r="U293" s="51"/>
      <c r="V293" s="52"/>
      <c r="W293" s="17"/>
      <c r="X293" s="17" t="s">
        <v>716</v>
      </c>
      <c r="Y293" s="15"/>
      <c r="Z293" s="17"/>
      <c r="AA293" s="17" t="s">
        <v>716</v>
      </c>
      <c r="AB293" s="81"/>
      <c r="AC293" s="16" t="s">
        <v>716</v>
      </c>
      <c r="AD293" s="16" t="s">
        <v>848</v>
      </c>
      <c r="AE293" s="16" t="s">
        <v>855</v>
      </c>
      <c r="AF293" s="16" t="str">
        <f>_xlfn.CONCAT(EjecucionHaciendaDiciembre[[#This Row],[NOMBRE_RUBRO]]," - ",EjecucionHaciendaDiciembre[[#This Row],[NOMBRE_RECURSO]])</f>
        <v>Servicios para la comunidad, sociales y personales - 1.3.3.3.20-R.B. SALUD EVALUACION SANITARIA</v>
      </c>
      <c r="AH293" s="1"/>
      <c r="AI293" s="1"/>
      <c r="AJ293" s="1"/>
      <c r="AK293" s="1"/>
      <c r="AL293" s="1"/>
      <c r="AM293" s="1"/>
    </row>
    <row r="294" spans="1:39" ht="28.8" x14ac:dyDescent="0.3">
      <c r="A294" s="48" t="s">
        <v>99</v>
      </c>
      <c r="B294" s="48" t="s">
        <v>165</v>
      </c>
      <c r="C294" s="49" t="s">
        <v>222</v>
      </c>
      <c r="D294" s="49" t="s">
        <v>298</v>
      </c>
      <c r="E294" s="49" t="s">
        <v>224</v>
      </c>
      <c r="F294" s="48" t="s">
        <v>378</v>
      </c>
      <c r="G294" s="49" t="s">
        <v>399</v>
      </c>
      <c r="H294" s="48" t="s">
        <v>539</v>
      </c>
      <c r="I294" s="50">
        <v>0</v>
      </c>
      <c r="J294" s="50">
        <v>1748071381</v>
      </c>
      <c r="K294" s="50">
        <v>0</v>
      </c>
      <c r="L294" s="50">
        <v>0</v>
      </c>
      <c r="M294" s="50">
        <v>150102042</v>
      </c>
      <c r="N294" s="50">
        <v>1597969339</v>
      </c>
      <c r="O294" s="50">
        <v>1526171173</v>
      </c>
      <c r="P294" s="50">
        <v>1526171173</v>
      </c>
      <c r="Q294" s="50">
        <v>1526171173</v>
      </c>
      <c r="R294" s="50">
        <v>1526171173</v>
      </c>
      <c r="S294" s="50">
        <v>1526171173</v>
      </c>
      <c r="T294" s="50">
        <v>71798166</v>
      </c>
      <c r="U294" s="51" t="s">
        <v>776</v>
      </c>
      <c r="V294" s="52">
        <v>190603500</v>
      </c>
      <c r="W294" s="17"/>
      <c r="X294" s="17" t="s">
        <v>716</v>
      </c>
      <c r="Y294" s="15"/>
      <c r="Z294" s="17"/>
      <c r="AA294" s="17" t="s">
        <v>716</v>
      </c>
      <c r="AB294" s="81"/>
      <c r="AC294" s="16" t="s">
        <v>716</v>
      </c>
      <c r="AD294" s="16" t="s">
        <v>848</v>
      </c>
      <c r="AE294" s="16" t="s">
        <v>855</v>
      </c>
      <c r="AF294" s="16" t="str">
        <f>_xlfn.CONCAT(EjecucionHaciendaDiciembre[[#This Row],[NOMBRE_RUBRO]]," - ",EjecucionHaciendaDiciembre[[#This Row],[NOMBRE_RECURSO]])</f>
        <v>Servicios para la comunidad, sociales y personales - 1.3.3.2.00-R.B RENTAS CEDIDAS</v>
      </c>
      <c r="AH294" s="1"/>
      <c r="AI294" s="1"/>
      <c r="AJ294" s="1"/>
      <c r="AK294" s="1"/>
      <c r="AL294" s="1"/>
      <c r="AM294" s="1"/>
    </row>
    <row r="295" spans="1:39" ht="43.2" x14ac:dyDescent="0.3">
      <c r="A295" s="3" t="s">
        <v>99</v>
      </c>
      <c r="B295" s="3" t="s">
        <v>165</v>
      </c>
      <c r="C295" s="2" t="s">
        <v>222</v>
      </c>
      <c r="D295" s="2" t="s">
        <v>298</v>
      </c>
      <c r="E295" s="2" t="s">
        <v>224</v>
      </c>
      <c r="F295" s="3" t="s">
        <v>378</v>
      </c>
      <c r="G295" s="2" t="s">
        <v>463</v>
      </c>
      <c r="H295" s="3" t="s">
        <v>597</v>
      </c>
      <c r="I295" s="4">
        <v>0</v>
      </c>
      <c r="J295" s="4">
        <v>0</v>
      </c>
      <c r="K295" s="4">
        <v>0</v>
      </c>
      <c r="L295" s="4">
        <v>150102042</v>
      </c>
      <c r="M295" s="4">
        <v>0</v>
      </c>
      <c r="N295" s="4">
        <v>150102042</v>
      </c>
      <c r="O295" s="4">
        <v>150102042</v>
      </c>
      <c r="P295" s="4">
        <v>150102042</v>
      </c>
      <c r="Q295" s="4">
        <v>150102042</v>
      </c>
      <c r="R295" s="4">
        <v>0</v>
      </c>
      <c r="S295" s="4">
        <v>0</v>
      </c>
      <c r="T295" s="4">
        <v>0</v>
      </c>
      <c r="U295" s="23" t="s">
        <v>731</v>
      </c>
      <c r="V295" s="31">
        <v>190603600</v>
      </c>
      <c r="W295" s="17" t="s">
        <v>815</v>
      </c>
      <c r="X295" s="17" t="s">
        <v>751</v>
      </c>
      <c r="Y295" s="15" t="s">
        <v>781</v>
      </c>
      <c r="Z295" s="17">
        <v>2025</v>
      </c>
      <c r="AA295" s="17" t="s">
        <v>716</v>
      </c>
      <c r="AB295" s="81">
        <v>2025</v>
      </c>
      <c r="AC295" s="16" t="s">
        <v>716</v>
      </c>
      <c r="AD295" s="16" t="s">
        <v>848</v>
      </c>
      <c r="AE295" s="16" t="s">
        <v>855</v>
      </c>
      <c r="AF295" s="16" t="str">
        <f>_xlfn.CONCAT(EjecucionHaciendaDiciembre[[#This Row],[NOMBRE_RUBRO]]," - ",EjecucionHaciendaDiciembre[[#This Row],[NOMBRE_RECURSO]])</f>
        <v>Servicios para la comunidad, sociales y personales - 1.3.3.2.00-R.B RENTAS CEDIDAS</v>
      </c>
      <c r="AH295" s="1"/>
      <c r="AI295" s="1"/>
      <c r="AJ295" s="1"/>
      <c r="AK295" s="1"/>
      <c r="AL295" s="1"/>
      <c r="AM295" s="1"/>
    </row>
    <row r="296" spans="1:39" ht="57.6" x14ac:dyDescent="0.3">
      <c r="A296" s="32" t="s">
        <v>99</v>
      </c>
      <c r="B296" s="32" t="s">
        <v>165</v>
      </c>
      <c r="C296" s="33" t="s">
        <v>260</v>
      </c>
      <c r="D296" s="33" t="s">
        <v>336</v>
      </c>
      <c r="E296" s="33" t="s">
        <v>372</v>
      </c>
      <c r="F296" s="32" t="s">
        <v>387</v>
      </c>
      <c r="G296" s="33" t="s">
        <v>399</v>
      </c>
      <c r="H296" s="32"/>
      <c r="I296" s="34">
        <v>1143162137</v>
      </c>
      <c r="J296" s="34">
        <v>0</v>
      </c>
      <c r="K296" s="34">
        <v>0</v>
      </c>
      <c r="L296" s="34">
        <v>0</v>
      </c>
      <c r="M296" s="34">
        <v>802993615</v>
      </c>
      <c r="N296" s="34">
        <v>340168522</v>
      </c>
      <c r="O296" s="34">
        <v>0</v>
      </c>
      <c r="P296" s="34">
        <v>0</v>
      </c>
      <c r="Q296" s="34">
        <v>0</v>
      </c>
      <c r="R296" s="34">
        <v>0</v>
      </c>
      <c r="S296" s="34">
        <v>0</v>
      </c>
      <c r="T296" s="34">
        <v>340168522</v>
      </c>
      <c r="U296" s="35"/>
      <c r="V296" s="85"/>
      <c r="W296" s="17"/>
      <c r="X296" s="17" t="s">
        <v>716</v>
      </c>
      <c r="Y296" s="15"/>
      <c r="Z296" s="17"/>
      <c r="AA296" s="17" t="s">
        <v>716</v>
      </c>
      <c r="AB296" s="81"/>
      <c r="AC296" s="16" t="s">
        <v>716</v>
      </c>
      <c r="AD296" s="16" t="s">
        <v>849</v>
      </c>
      <c r="AE296" s="16" t="s">
        <v>855</v>
      </c>
      <c r="AF296" s="16" t="str">
        <f>_xlfn.CONCAT(EjecucionHaciendaDiciembre[[#This Row],[NOMBRE_RUBRO]]," - ",EjecucionHaciendaDiciembre[[#This Row],[NOMBRE_RECURSO]])</f>
        <v>Servicios para la comunidad, sociales y personales - 1.2.1.0.00 -INGRESOS CORRIENTES DE LIBRE DESTINACION 1% ACUIFEROS</v>
      </c>
      <c r="AH296" s="1"/>
      <c r="AI296" s="1"/>
      <c r="AJ296" s="1"/>
      <c r="AK296" s="1"/>
      <c r="AL296" s="1"/>
      <c r="AM296" s="1"/>
    </row>
    <row r="297" spans="1:39" ht="61.2" customHeight="1" x14ac:dyDescent="0.3">
      <c r="A297" s="3" t="s">
        <v>99</v>
      </c>
      <c r="B297" s="3" t="s">
        <v>165</v>
      </c>
      <c r="C297" s="2" t="s">
        <v>260</v>
      </c>
      <c r="D297" s="2" t="s">
        <v>336</v>
      </c>
      <c r="E297" s="2" t="s">
        <v>372</v>
      </c>
      <c r="F297" s="3" t="s">
        <v>387</v>
      </c>
      <c r="G297" s="55" t="s">
        <v>524</v>
      </c>
      <c r="H297" s="3" t="s">
        <v>622</v>
      </c>
      <c r="I297" s="4">
        <v>0</v>
      </c>
      <c r="J297" s="4">
        <v>0</v>
      </c>
      <c r="K297" s="4">
        <v>0</v>
      </c>
      <c r="L297" s="4">
        <v>802993615</v>
      </c>
      <c r="M297" s="4">
        <v>0</v>
      </c>
      <c r="N297" s="4">
        <v>802993615</v>
      </c>
      <c r="O297" s="4">
        <v>802993615</v>
      </c>
      <c r="P297" s="4">
        <v>802993615</v>
      </c>
      <c r="Q297" s="4">
        <v>802993615</v>
      </c>
      <c r="R297" s="4">
        <v>802993615</v>
      </c>
      <c r="S297" s="4">
        <v>802993615</v>
      </c>
      <c r="T297" s="4">
        <v>0</v>
      </c>
      <c r="U297" s="23" t="s">
        <v>778</v>
      </c>
      <c r="V297" s="31">
        <v>320200500</v>
      </c>
      <c r="W297" s="17" t="s">
        <v>789</v>
      </c>
      <c r="X297" s="17" t="s">
        <v>751</v>
      </c>
      <c r="Y297" s="15" t="s">
        <v>779</v>
      </c>
      <c r="Z297" s="17">
        <v>2024</v>
      </c>
      <c r="AA297" s="17" t="s">
        <v>716</v>
      </c>
      <c r="AB297" s="81">
        <v>2024</v>
      </c>
      <c r="AC297" s="16" t="s">
        <v>716</v>
      </c>
      <c r="AD297" s="16" t="s">
        <v>849</v>
      </c>
      <c r="AE297" s="16" t="s">
        <v>879</v>
      </c>
      <c r="AF297" s="16" t="str">
        <f>_xlfn.CONCAT(EjecucionHaciendaDiciembre[[#This Row],[NOMBRE_RUBRO]]," - ",EjecucionHaciendaDiciembre[[#This Row],[NOMBRE_RECURSO]])</f>
        <v>Servicios para la comunidad, sociales y personales - 1.2.1.0.00 -INGRESOS CORRIENTES DE LIBRE DESTINACION 1% ACUIFEROS</v>
      </c>
      <c r="AH297" s="1"/>
      <c r="AI297" s="1"/>
      <c r="AJ297" s="1"/>
      <c r="AK297" s="1"/>
      <c r="AL297" s="1"/>
      <c r="AM297" s="1"/>
    </row>
    <row r="298" spans="1:39" ht="72.599999999999994" customHeight="1" x14ac:dyDescent="0.3">
      <c r="A298" s="3" t="s">
        <v>99</v>
      </c>
      <c r="B298" s="3" t="s">
        <v>165</v>
      </c>
      <c r="C298" s="2" t="s">
        <v>261</v>
      </c>
      <c r="D298" s="2" t="s">
        <v>337</v>
      </c>
      <c r="E298" s="2" t="s">
        <v>270</v>
      </c>
      <c r="F298" s="3" t="s">
        <v>391</v>
      </c>
      <c r="G298" s="2" t="s">
        <v>523</v>
      </c>
      <c r="H298" s="3" t="s">
        <v>707</v>
      </c>
      <c r="I298" s="4">
        <v>0</v>
      </c>
      <c r="J298" s="4">
        <v>4562142877.1700001</v>
      </c>
      <c r="K298" s="4">
        <v>0</v>
      </c>
      <c r="L298" s="4">
        <v>0</v>
      </c>
      <c r="M298" s="4">
        <v>0</v>
      </c>
      <c r="N298" s="4">
        <v>4562142877.1700001</v>
      </c>
      <c r="O298" s="4">
        <v>4562142877.1700001</v>
      </c>
      <c r="P298" s="4">
        <v>4562142877.1700001</v>
      </c>
      <c r="Q298" s="4">
        <v>4562142877.1700001</v>
      </c>
      <c r="R298" s="4">
        <v>4562142877.1700001</v>
      </c>
      <c r="S298" s="4">
        <v>4562142877.1700001</v>
      </c>
      <c r="T298" s="4">
        <v>0</v>
      </c>
      <c r="U298" s="23" t="s">
        <v>763</v>
      </c>
      <c r="V298" s="31">
        <v>410400800</v>
      </c>
      <c r="W298" s="17" t="s">
        <v>789</v>
      </c>
      <c r="X298" s="17" t="s">
        <v>817</v>
      </c>
      <c r="Y298" s="15" t="s">
        <v>779</v>
      </c>
      <c r="Z298" s="17" t="s">
        <v>832</v>
      </c>
      <c r="AA298" s="17" t="s">
        <v>833</v>
      </c>
      <c r="AB298" s="81">
        <v>2024</v>
      </c>
      <c r="AC298" s="16" t="s">
        <v>833</v>
      </c>
      <c r="AD298" s="16" t="s">
        <v>848</v>
      </c>
      <c r="AE298" s="16" t="s">
        <v>886</v>
      </c>
      <c r="AF298" s="16" t="str">
        <f>_xlfn.CONCAT(EjecucionHaciendaDiciembre[[#This Row],[NOMBRE_RUBRO]]," - ",EjecucionHaciendaDiciembre[[#This Row],[NOMBRE_RECURSO]])</f>
        <v>Servicios para la comunidad, sociales y personales - 1.3.3.3.20-R.B. ESTAMPILLAS PARA EL BIENESTAR DEL ADULTO MAYOR</v>
      </c>
      <c r="AH298" s="1"/>
      <c r="AI298" s="1"/>
      <c r="AJ298" s="1"/>
      <c r="AK298" s="1"/>
      <c r="AL298" s="1"/>
      <c r="AM298" s="1"/>
    </row>
    <row r="299" spans="1:39" ht="57.6" x14ac:dyDescent="0.3">
      <c r="A299" s="3" t="s">
        <v>99</v>
      </c>
      <c r="B299" s="3" t="s">
        <v>165</v>
      </c>
      <c r="C299" s="2" t="s">
        <v>262</v>
      </c>
      <c r="D299" s="2" t="s">
        <v>338</v>
      </c>
      <c r="E299" s="2" t="s">
        <v>374</v>
      </c>
      <c r="F299" s="3" t="s">
        <v>389</v>
      </c>
      <c r="G299" s="2" t="s">
        <v>525</v>
      </c>
      <c r="H299" s="3" t="s">
        <v>566</v>
      </c>
      <c r="I299" s="4">
        <v>0</v>
      </c>
      <c r="J299" s="4">
        <v>7000000000</v>
      </c>
      <c r="K299" s="4">
        <v>0</v>
      </c>
      <c r="L299" s="4">
        <v>0</v>
      </c>
      <c r="M299" s="4">
        <v>0</v>
      </c>
      <c r="N299" s="4">
        <v>7000000000</v>
      </c>
      <c r="O299" s="4">
        <v>7000000000</v>
      </c>
      <c r="P299" s="4">
        <v>7000000000</v>
      </c>
      <c r="Q299" s="4">
        <v>7000000000</v>
      </c>
      <c r="R299" s="4">
        <v>7000000000</v>
      </c>
      <c r="S299" s="4">
        <v>7000000000</v>
      </c>
      <c r="T299" s="4">
        <v>0</v>
      </c>
      <c r="U299" s="23" t="s">
        <v>836</v>
      </c>
      <c r="V299" s="31">
        <v>230208600</v>
      </c>
      <c r="W299" s="17" t="s">
        <v>830</v>
      </c>
      <c r="X299" s="17" t="s">
        <v>750</v>
      </c>
      <c r="Y299" s="15" t="s">
        <v>779</v>
      </c>
      <c r="Z299" s="75">
        <v>2024</v>
      </c>
      <c r="AA299" s="17" t="s">
        <v>716</v>
      </c>
      <c r="AB299" s="81">
        <v>2024</v>
      </c>
      <c r="AC299" s="16" t="s">
        <v>716</v>
      </c>
      <c r="AD299" s="16" t="s">
        <v>848</v>
      </c>
      <c r="AE299" s="16" t="s">
        <v>887</v>
      </c>
      <c r="AF299" s="16" t="str">
        <f>_xlfn.CONCAT(EjecucionHaciendaDiciembre[[#This Row],[NOMBRE_RUBRO]]," - ",EjecucionHaciendaDiciembre[[#This Row],[NOMBRE_RECURSO]])</f>
        <v>Servicios para la comunidad, sociales y personales - 1.2.3.3.03 - APORTES NACION-SIN SIT DE FONDOS</v>
      </c>
      <c r="AH299" s="1"/>
      <c r="AI299" s="1"/>
      <c r="AJ299" s="1"/>
      <c r="AK299" s="1"/>
      <c r="AL299" s="1"/>
      <c r="AM299" s="1"/>
    </row>
    <row r="300" spans="1:39" ht="14.4" x14ac:dyDescent="0.3">
      <c r="A300" s="14" t="s">
        <v>100</v>
      </c>
      <c r="B300" s="14" t="s">
        <v>167</v>
      </c>
      <c r="C300" s="15"/>
      <c r="D300" s="15"/>
      <c r="E300" s="15"/>
      <c r="F300" s="14"/>
      <c r="G300" s="15"/>
      <c r="H300" s="14"/>
      <c r="I300" s="16">
        <v>77503857229</v>
      </c>
      <c r="J300" s="16">
        <v>25461206376.220001</v>
      </c>
      <c r="K300" s="16">
        <v>0</v>
      </c>
      <c r="L300" s="16">
        <v>100000000</v>
      </c>
      <c r="M300" s="16">
        <v>100000000</v>
      </c>
      <c r="N300" s="16">
        <v>102965063605.22</v>
      </c>
      <c r="O300" s="16">
        <v>85721858004.479996</v>
      </c>
      <c r="P300" s="16">
        <v>85641858004.479996</v>
      </c>
      <c r="Q300" s="16">
        <v>66843797831.480003</v>
      </c>
      <c r="R300" s="16">
        <v>66308149009.480003</v>
      </c>
      <c r="S300" s="16">
        <v>66294034489.480003</v>
      </c>
      <c r="T300" s="16">
        <v>17323205600.740002</v>
      </c>
      <c r="U300" s="17"/>
      <c r="V300" s="86"/>
      <c r="W300" s="17"/>
      <c r="X300" s="17" t="s">
        <v>716</v>
      </c>
      <c r="Y300" s="15"/>
      <c r="Z300" s="17"/>
      <c r="AA300" s="17" t="s">
        <v>716</v>
      </c>
      <c r="AB300" s="81"/>
      <c r="AC300" s="16" t="s">
        <v>716</v>
      </c>
      <c r="AD300" s="16" t="s">
        <v>716</v>
      </c>
      <c r="AE300" s="16" t="s">
        <v>716</v>
      </c>
      <c r="AF300" s="16" t="str">
        <f>_xlfn.CONCAT(EjecucionHaciendaDiciembre[[#This Row],[NOMBRE_RUBRO]]," - ",EjecucionHaciendaDiciembre[[#This Row],[NOMBRE_RECURSO]])</f>
        <v xml:space="preserve">Transferencias corrientes - </v>
      </c>
      <c r="AH300" s="1"/>
      <c r="AI300" s="1"/>
      <c r="AJ300" s="1"/>
      <c r="AK300" s="1"/>
      <c r="AL300" s="1"/>
      <c r="AM300" s="1"/>
    </row>
    <row r="301" spans="1:39" ht="14.4" x14ac:dyDescent="0.3">
      <c r="A301" s="14" t="s">
        <v>101</v>
      </c>
      <c r="B301" s="14" t="s">
        <v>202</v>
      </c>
      <c r="C301" s="15"/>
      <c r="D301" s="15"/>
      <c r="E301" s="15"/>
      <c r="F301" s="14"/>
      <c r="G301" s="15"/>
      <c r="H301" s="14"/>
      <c r="I301" s="16">
        <v>19174522681</v>
      </c>
      <c r="J301" s="16">
        <v>4929964902</v>
      </c>
      <c r="K301" s="16">
        <v>0</v>
      </c>
      <c r="L301" s="16">
        <v>0</v>
      </c>
      <c r="M301" s="16">
        <v>0</v>
      </c>
      <c r="N301" s="16">
        <v>24104487583</v>
      </c>
      <c r="O301" s="16">
        <v>14255668049.799999</v>
      </c>
      <c r="P301" s="16">
        <v>14255668049.799999</v>
      </c>
      <c r="Q301" s="16">
        <v>14255668049.799999</v>
      </c>
      <c r="R301" s="16">
        <v>13720019227.799999</v>
      </c>
      <c r="S301" s="16">
        <v>13705904707.799999</v>
      </c>
      <c r="T301" s="16">
        <v>9848819533.2000008</v>
      </c>
      <c r="U301" s="17"/>
      <c r="V301" s="86"/>
      <c r="W301" s="17"/>
      <c r="X301" s="17" t="s">
        <v>716</v>
      </c>
      <c r="Y301" s="15"/>
      <c r="Z301" s="17"/>
      <c r="AA301" s="17" t="s">
        <v>716</v>
      </c>
      <c r="AB301" s="81"/>
      <c r="AC301" s="16" t="s">
        <v>716</v>
      </c>
      <c r="AD301" s="16" t="s">
        <v>716</v>
      </c>
      <c r="AE301" s="16" t="s">
        <v>716</v>
      </c>
      <c r="AF301" s="16" t="str">
        <f>_xlfn.CONCAT(EjecucionHaciendaDiciembre[[#This Row],[NOMBRE_RUBRO]]," - ",EjecucionHaciendaDiciembre[[#This Row],[NOMBRE_RECURSO]])</f>
        <v xml:space="preserve">Subvenciones - </v>
      </c>
      <c r="AH301" s="1"/>
      <c r="AI301" s="1"/>
      <c r="AJ301" s="1"/>
      <c r="AK301" s="1"/>
      <c r="AL301" s="1"/>
      <c r="AM301" s="1"/>
    </row>
    <row r="302" spans="1:39" ht="14.4" x14ac:dyDescent="0.3">
      <c r="A302" s="14" t="s">
        <v>102</v>
      </c>
      <c r="B302" s="14" t="s">
        <v>203</v>
      </c>
      <c r="C302" s="15"/>
      <c r="D302" s="15"/>
      <c r="E302" s="15"/>
      <c r="F302" s="14"/>
      <c r="G302" s="15"/>
      <c r="H302" s="14"/>
      <c r="I302" s="16">
        <v>19174522681</v>
      </c>
      <c r="J302" s="16">
        <v>4929964902</v>
      </c>
      <c r="K302" s="16">
        <v>0</v>
      </c>
      <c r="L302" s="16">
        <v>0</v>
      </c>
      <c r="M302" s="16">
        <v>0</v>
      </c>
      <c r="N302" s="16">
        <v>24104487583</v>
      </c>
      <c r="O302" s="16">
        <v>14255668049.799999</v>
      </c>
      <c r="P302" s="16">
        <v>14255668049.799999</v>
      </c>
      <c r="Q302" s="16">
        <v>14255668049.799999</v>
      </c>
      <c r="R302" s="16">
        <v>13720019227.799999</v>
      </c>
      <c r="S302" s="16">
        <v>13705904707.799999</v>
      </c>
      <c r="T302" s="16">
        <v>9848819533.2000008</v>
      </c>
      <c r="U302" s="17"/>
      <c r="V302" s="86"/>
      <c r="W302" s="17"/>
      <c r="X302" s="17" t="s">
        <v>716</v>
      </c>
      <c r="Y302" s="15"/>
      <c r="Z302" s="17"/>
      <c r="AA302" s="17" t="s">
        <v>716</v>
      </c>
      <c r="AB302" s="81"/>
      <c r="AC302" s="16" t="s">
        <v>716</v>
      </c>
      <c r="AD302" s="16" t="s">
        <v>716</v>
      </c>
      <c r="AE302" s="16" t="s">
        <v>716</v>
      </c>
      <c r="AF302" s="16" t="str">
        <f>_xlfn.CONCAT(EjecucionHaciendaDiciembre[[#This Row],[NOMBRE_RUBRO]]," - ",EjecucionHaciendaDiciembre[[#This Row],[NOMBRE_RECURSO]])</f>
        <v xml:space="preserve">A empresas públicas no financieras - </v>
      </c>
      <c r="AH302" s="1"/>
      <c r="AI302" s="1"/>
      <c r="AJ302" s="1"/>
      <c r="AK302" s="1"/>
      <c r="AL302" s="1"/>
      <c r="AM302" s="1"/>
    </row>
    <row r="303" spans="1:39" ht="28.8" x14ac:dyDescent="0.3">
      <c r="A303" s="48" t="s">
        <v>103</v>
      </c>
      <c r="B303" s="48" t="s">
        <v>204</v>
      </c>
      <c r="C303" s="49" t="s">
        <v>263</v>
      </c>
      <c r="D303" s="49" t="s">
        <v>339</v>
      </c>
      <c r="E303" s="49" t="s">
        <v>224</v>
      </c>
      <c r="F303" s="48" t="s">
        <v>378</v>
      </c>
      <c r="G303" s="49" t="s">
        <v>399</v>
      </c>
      <c r="H303" s="48" t="s">
        <v>539</v>
      </c>
      <c r="I303" s="50">
        <v>6285698226</v>
      </c>
      <c r="J303" s="50">
        <v>1982112201</v>
      </c>
      <c r="K303" s="50">
        <v>0</v>
      </c>
      <c r="L303" s="50">
        <v>0</v>
      </c>
      <c r="M303" s="50">
        <v>0</v>
      </c>
      <c r="N303" s="50">
        <v>8267810427</v>
      </c>
      <c r="O303" s="50">
        <v>8267810427</v>
      </c>
      <c r="P303" s="50">
        <v>8267810427</v>
      </c>
      <c r="Q303" s="50">
        <v>8267810427</v>
      </c>
      <c r="R303" s="50">
        <v>7732161605</v>
      </c>
      <c r="S303" s="50">
        <v>7718047085</v>
      </c>
      <c r="T303" s="50">
        <v>0</v>
      </c>
      <c r="U303" s="51" t="s">
        <v>776</v>
      </c>
      <c r="V303" s="52">
        <v>190603500</v>
      </c>
      <c r="W303" s="17"/>
      <c r="X303" s="17" t="s">
        <v>716</v>
      </c>
      <c r="Y303" s="15"/>
      <c r="Z303" s="17"/>
      <c r="AA303" s="17" t="s">
        <v>716</v>
      </c>
      <c r="AB303" s="81"/>
      <c r="AC303" s="16" t="s">
        <v>716</v>
      </c>
      <c r="AD303" s="16" t="s">
        <v>850</v>
      </c>
      <c r="AE303" s="16" t="s">
        <v>855</v>
      </c>
      <c r="AF303" s="16" t="str">
        <f>_xlfn.CONCAT(EjecucionHaciendaDiciembre[[#This Row],[NOMBRE_RUBRO]]," - ",EjecucionHaciendaDiciembre[[#This Row],[NOMBRE_RECURSO]])</f>
        <v>Transferencias para Empresas Sociales del Estado - 1.2.4.2.04 - SGP-SALUD-SUBSIDIO A LA OFERTA</v>
      </c>
      <c r="AH303" s="1"/>
      <c r="AI303" s="1"/>
      <c r="AJ303" s="1"/>
      <c r="AK303" s="1"/>
      <c r="AL303" s="1"/>
      <c r="AM303" s="1"/>
    </row>
    <row r="304" spans="1:39" ht="28.8" x14ac:dyDescent="0.3">
      <c r="A304" s="48" t="s">
        <v>103</v>
      </c>
      <c r="B304" s="48" t="s">
        <v>204</v>
      </c>
      <c r="C304" s="49" t="s">
        <v>216</v>
      </c>
      <c r="D304" s="49" t="s">
        <v>292</v>
      </c>
      <c r="E304" s="49" t="s">
        <v>224</v>
      </c>
      <c r="F304" s="48" t="s">
        <v>378</v>
      </c>
      <c r="G304" s="49" t="s">
        <v>399</v>
      </c>
      <c r="H304" s="48" t="s">
        <v>539</v>
      </c>
      <c r="I304" s="50">
        <v>6947855668</v>
      </c>
      <c r="J304" s="50">
        <v>0</v>
      </c>
      <c r="K304" s="50">
        <v>0</v>
      </c>
      <c r="L304" s="50">
        <v>0</v>
      </c>
      <c r="M304" s="50">
        <v>0</v>
      </c>
      <c r="N304" s="50">
        <v>6947855668</v>
      </c>
      <c r="O304" s="50">
        <v>1568797877</v>
      </c>
      <c r="P304" s="50">
        <v>1568797877</v>
      </c>
      <c r="Q304" s="50">
        <v>1568797877</v>
      </c>
      <c r="R304" s="50">
        <v>1568797877</v>
      </c>
      <c r="S304" s="50">
        <v>1568797877</v>
      </c>
      <c r="T304" s="50">
        <v>5379057791</v>
      </c>
      <c r="U304" s="51" t="s">
        <v>776</v>
      </c>
      <c r="V304" s="52">
        <v>190603500</v>
      </c>
      <c r="W304" s="17"/>
      <c r="X304" s="17" t="s">
        <v>716</v>
      </c>
      <c r="Y304" s="15"/>
      <c r="Z304" s="17"/>
      <c r="AA304" s="17" t="s">
        <v>716</v>
      </c>
      <c r="AB304" s="81"/>
      <c r="AC304" s="16" t="s">
        <v>716</v>
      </c>
      <c r="AD304" s="16" t="s">
        <v>848</v>
      </c>
      <c r="AE304" s="16" t="s">
        <v>855</v>
      </c>
      <c r="AF304" s="16" t="str">
        <f>_xlfn.CONCAT(EjecucionHaciendaDiciembre[[#This Row],[NOMBRE_RUBRO]]," - ",EjecucionHaciendaDiciembre[[#This Row],[NOMBRE_RECURSO]])</f>
        <v>Transferencias para Empresas Sociales del Estado - 1.2.2.0.00- RENTAS CEDIDAS</v>
      </c>
      <c r="AH304" s="1"/>
      <c r="AI304" s="1"/>
      <c r="AJ304" s="1"/>
      <c r="AK304" s="1"/>
      <c r="AL304" s="1"/>
      <c r="AM304" s="1"/>
    </row>
    <row r="305" spans="1:39" ht="28.8" x14ac:dyDescent="0.3">
      <c r="A305" s="48" t="s">
        <v>103</v>
      </c>
      <c r="B305" s="48" t="s">
        <v>204</v>
      </c>
      <c r="C305" s="49" t="s">
        <v>264</v>
      </c>
      <c r="D305" s="49" t="s">
        <v>340</v>
      </c>
      <c r="E305" s="49" t="s">
        <v>224</v>
      </c>
      <c r="F305" s="48" t="s">
        <v>378</v>
      </c>
      <c r="G305" s="49" t="s">
        <v>399</v>
      </c>
      <c r="H305" s="48" t="s">
        <v>539</v>
      </c>
      <c r="I305" s="50">
        <v>5940968787</v>
      </c>
      <c r="J305" s="50">
        <v>0</v>
      </c>
      <c r="K305" s="50">
        <v>0</v>
      </c>
      <c r="L305" s="50">
        <v>0</v>
      </c>
      <c r="M305" s="50">
        <v>0</v>
      </c>
      <c r="N305" s="50">
        <v>5940968787</v>
      </c>
      <c r="O305" s="50">
        <v>4396597545.8000002</v>
      </c>
      <c r="P305" s="50">
        <v>4396597545.8000002</v>
      </c>
      <c r="Q305" s="50">
        <v>4396597545.8000002</v>
      </c>
      <c r="R305" s="50">
        <v>4396597545.8000002</v>
      </c>
      <c r="S305" s="50">
        <v>4396597545.8000002</v>
      </c>
      <c r="T305" s="50">
        <v>1544371241.2</v>
      </c>
      <c r="U305" s="51" t="s">
        <v>776</v>
      </c>
      <c r="V305" s="52">
        <v>190603500</v>
      </c>
      <c r="W305" s="17"/>
      <c r="X305" s="17" t="s">
        <v>716</v>
      </c>
      <c r="Y305" s="15"/>
      <c r="Z305" s="17"/>
      <c r="AA305" s="17" t="s">
        <v>716</v>
      </c>
      <c r="AB305" s="81"/>
      <c r="AC305" s="16" t="s">
        <v>716</v>
      </c>
      <c r="AD305" s="16" t="s">
        <v>848</v>
      </c>
      <c r="AE305" s="16" t="s">
        <v>855</v>
      </c>
      <c r="AF305" s="16" t="str">
        <f>_xlfn.CONCAT(EjecucionHaciendaDiciembre[[#This Row],[NOMBRE_RUBRO]]," - ",EjecucionHaciendaDiciembre[[#This Row],[NOMBRE_RECURSO]])</f>
        <v>Transferencias para Empresas Sociales del Estado - 1.2.3.1.19 - ESTAMPILLAS PRO HOSPITALES</v>
      </c>
      <c r="AH305" s="1"/>
      <c r="AI305" s="1"/>
      <c r="AJ305" s="1"/>
      <c r="AK305" s="1"/>
      <c r="AL305" s="1"/>
      <c r="AM305" s="1"/>
    </row>
    <row r="306" spans="1:39" ht="28.8" x14ac:dyDescent="0.3">
      <c r="A306" s="48" t="s">
        <v>103</v>
      </c>
      <c r="B306" s="48" t="s">
        <v>204</v>
      </c>
      <c r="C306" s="49" t="s">
        <v>222</v>
      </c>
      <c r="D306" s="49" t="s">
        <v>298</v>
      </c>
      <c r="E306" s="49" t="s">
        <v>224</v>
      </c>
      <c r="F306" s="48" t="s">
        <v>378</v>
      </c>
      <c r="G306" s="49" t="s">
        <v>399</v>
      </c>
      <c r="H306" s="48" t="s">
        <v>539</v>
      </c>
      <c r="I306" s="50">
        <v>0</v>
      </c>
      <c r="J306" s="50">
        <v>2947852701</v>
      </c>
      <c r="K306" s="50">
        <v>0</v>
      </c>
      <c r="L306" s="50">
        <v>0</v>
      </c>
      <c r="M306" s="50">
        <v>0</v>
      </c>
      <c r="N306" s="50">
        <v>2947852701</v>
      </c>
      <c r="O306" s="50">
        <v>22462200</v>
      </c>
      <c r="P306" s="50">
        <v>22462200</v>
      </c>
      <c r="Q306" s="50">
        <v>22462200</v>
      </c>
      <c r="R306" s="50">
        <v>22462200</v>
      </c>
      <c r="S306" s="50">
        <v>22462200</v>
      </c>
      <c r="T306" s="50">
        <v>2925390501</v>
      </c>
      <c r="U306" s="51"/>
      <c r="V306" s="52"/>
      <c r="W306" s="17" t="s">
        <v>806</v>
      </c>
      <c r="X306" s="17" t="s">
        <v>716</v>
      </c>
      <c r="Y306" s="15"/>
      <c r="Z306" s="17"/>
      <c r="AA306" s="17" t="s">
        <v>716</v>
      </c>
      <c r="AB306" s="81"/>
      <c r="AC306" s="16" t="s">
        <v>716</v>
      </c>
      <c r="AD306" s="16" t="s">
        <v>848</v>
      </c>
      <c r="AE306" s="16" t="s">
        <v>855</v>
      </c>
      <c r="AF306" s="16" t="str">
        <f>_xlfn.CONCAT(EjecucionHaciendaDiciembre[[#This Row],[NOMBRE_RUBRO]]," - ",EjecucionHaciendaDiciembre[[#This Row],[NOMBRE_RECURSO]])</f>
        <v>Transferencias para Empresas Sociales del Estado - 1.3.3.2.00-R.B RENTAS CEDIDAS</v>
      </c>
      <c r="AH306" s="1"/>
      <c r="AI306" s="1"/>
      <c r="AJ306" s="1"/>
      <c r="AK306" s="1"/>
      <c r="AL306" s="1"/>
      <c r="AM306" s="1"/>
    </row>
    <row r="307" spans="1:39" ht="14.4" x14ac:dyDescent="0.3">
      <c r="A307" s="14" t="s">
        <v>104</v>
      </c>
      <c r="B307" s="14" t="s">
        <v>205</v>
      </c>
      <c r="C307" s="15"/>
      <c r="D307" s="15"/>
      <c r="E307" s="15"/>
      <c r="F307" s="14"/>
      <c r="G307" s="15"/>
      <c r="H307" s="14"/>
      <c r="I307" s="16">
        <v>23958558755</v>
      </c>
      <c r="J307" s="16">
        <v>2254900270.5</v>
      </c>
      <c r="K307" s="16">
        <v>0</v>
      </c>
      <c r="L307" s="16">
        <v>0</v>
      </c>
      <c r="M307" s="16">
        <v>0</v>
      </c>
      <c r="N307" s="16">
        <v>26213459025.5</v>
      </c>
      <c r="O307" s="16">
        <v>23958558755</v>
      </c>
      <c r="P307" s="16">
        <v>23958558755</v>
      </c>
      <c r="Q307" s="16">
        <v>14991689305</v>
      </c>
      <c r="R307" s="16">
        <v>14991689305</v>
      </c>
      <c r="S307" s="16">
        <v>14991689305</v>
      </c>
      <c r="T307" s="16">
        <v>2254900270.5</v>
      </c>
      <c r="U307" s="17"/>
      <c r="V307" s="86"/>
      <c r="W307" s="17"/>
      <c r="X307" s="17" t="s">
        <v>716</v>
      </c>
      <c r="Y307" s="15"/>
      <c r="Z307" s="17"/>
      <c r="AA307" s="17" t="s">
        <v>716</v>
      </c>
      <c r="AB307" s="81"/>
      <c r="AC307" s="16" t="s">
        <v>716</v>
      </c>
      <c r="AD307" s="16" t="s">
        <v>716</v>
      </c>
      <c r="AE307" s="16" t="s">
        <v>716</v>
      </c>
      <c r="AF307" s="16" t="str">
        <f>_xlfn.CONCAT(EjecucionHaciendaDiciembre[[#This Row],[NOMBRE_RUBRO]]," - ",EjecucionHaciendaDiciembre[[#This Row],[NOMBRE_RECURSO]])</f>
        <v xml:space="preserve">A empresas diferente de subvenciones - </v>
      </c>
      <c r="AH307" s="1"/>
      <c r="AI307" s="1"/>
      <c r="AJ307" s="1"/>
      <c r="AK307" s="1"/>
      <c r="AL307" s="1"/>
      <c r="AM307" s="1"/>
    </row>
    <row r="308" spans="1:39" ht="28.8" x14ac:dyDescent="0.3">
      <c r="A308" s="14" t="s">
        <v>105</v>
      </c>
      <c r="B308" s="14" t="s">
        <v>206</v>
      </c>
      <c r="C308" s="15"/>
      <c r="D308" s="15"/>
      <c r="E308" s="15"/>
      <c r="F308" s="14"/>
      <c r="G308" s="15"/>
      <c r="H308" s="14"/>
      <c r="I308" s="16">
        <v>23958558755</v>
      </c>
      <c r="J308" s="16">
        <v>2254900270.5</v>
      </c>
      <c r="K308" s="16">
        <v>0</v>
      </c>
      <c r="L308" s="16">
        <v>0</v>
      </c>
      <c r="M308" s="16">
        <v>0</v>
      </c>
      <c r="N308" s="16">
        <v>26213459025.5</v>
      </c>
      <c r="O308" s="16">
        <v>23958558755</v>
      </c>
      <c r="P308" s="16">
        <v>23958558755</v>
      </c>
      <c r="Q308" s="16">
        <v>14991689305</v>
      </c>
      <c r="R308" s="16">
        <v>14991689305</v>
      </c>
      <c r="S308" s="16">
        <v>14991689305</v>
      </c>
      <c r="T308" s="16">
        <v>2254900270.5</v>
      </c>
      <c r="U308" s="17"/>
      <c r="V308" s="86"/>
      <c r="W308" s="17"/>
      <c r="X308" s="17" t="s">
        <v>716</v>
      </c>
      <c r="Y308" s="15"/>
      <c r="Z308" s="17"/>
      <c r="AA308" s="17" t="s">
        <v>716</v>
      </c>
      <c r="AB308" s="81"/>
      <c r="AC308" s="16" t="s">
        <v>716</v>
      </c>
      <c r="AD308" s="16" t="s">
        <v>716</v>
      </c>
      <c r="AE308" s="16" t="s">
        <v>716</v>
      </c>
      <c r="AF308" s="16" t="str">
        <f>_xlfn.CONCAT(EjecucionHaciendaDiciembre[[#This Row],[NOMBRE_RUBRO]]," - ",EjecucionHaciendaDiciembre[[#This Row],[NOMBRE_RECURSO]])</f>
        <v xml:space="preserve">Actividades de atención a la salud humana y de asistencia social - </v>
      </c>
      <c r="AH308" s="1"/>
      <c r="AI308" s="1"/>
      <c r="AJ308" s="1"/>
      <c r="AK308" s="1"/>
      <c r="AL308" s="1"/>
      <c r="AM308" s="1"/>
    </row>
    <row r="309" spans="1:39" ht="57.6" x14ac:dyDescent="0.3">
      <c r="A309" s="48" t="s">
        <v>106</v>
      </c>
      <c r="B309" s="48" t="s">
        <v>207</v>
      </c>
      <c r="C309" s="49" t="s">
        <v>265</v>
      </c>
      <c r="D309" s="49" t="s">
        <v>341</v>
      </c>
      <c r="E309" s="49" t="s">
        <v>224</v>
      </c>
      <c r="F309" s="48" t="s">
        <v>378</v>
      </c>
      <c r="G309" s="49" t="s">
        <v>399</v>
      </c>
      <c r="H309" s="48" t="s">
        <v>539</v>
      </c>
      <c r="I309" s="50">
        <v>0</v>
      </c>
      <c r="J309" s="50">
        <v>2246809573.5</v>
      </c>
      <c r="K309" s="50">
        <v>0</v>
      </c>
      <c r="L309" s="50">
        <v>0</v>
      </c>
      <c r="M309" s="50">
        <v>0</v>
      </c>
      <c r="N309" s="50">
        <v>2246809573.5</v>
      </c>
      <c r="O309" s="50">
        <v>0</v>
      </c>
      <c r="P309" s="50">
        <v>0</v>
      </c>
      <c r="Q309" s="50">
        <v>0</v>
      </c>
      <c r="R309" s="50">
        <v>0</v>
      </c>
      <c r="S309" s="50">
        <v>0</v>
      </c>
      <c r="T309" s="50">
        <v>2246809573.5</v>
      </c>
      <c r="U309" s="51"/>
      <c r="V309" s="52"/>
      <c r="W309" s="17"/>
      <c r="X309" s="17" t="s">
        <v>716</v>
      </c>
      <c r="Y309" s="15"/>
      <c r="Z309" s="17"/>
      <c r="AA309" s="17" t="s">
        <v>716</v>
      </c>
      <c r="AB309" s="81"/>
      <c r="AC309" s="16" t="s">
        <v>716</v>
      </c>
      <c r="AD309" s="16" t="s">
        <v>848</v>
      </c>
      <c r="AE309" s="16" t="s">
        <v>855</v>
      </c>
      <c r="AF309" s="16" t="str">
        <f>_xlfn.CONCAT(EjecucionHaciendaDiciembre[[#This Row],[NOMBRE_RUBRO]]," - ",EjecucionHaciendaDiciembre[[#This Row],[NOMBRE_RECURSO]])</f>
        <v>Financiación de beneficiarios del régimen subsidiado en salud. Art 10 ley 1122 de 2007 - 1.2.2.0.00 - IVA CEDIDO REGIMEN SUBSIDIADO SIN SIT DE FONDOS</v>
      </c>
      <c r="AH309" s="1"/>
      <c r="AI309" s="1"/>
      <c r="AJ309" s="1"/>
      <c r="AK309" s="1"/>
      <c r="AL309" s="1"/>
      <c r="AM309" s="1"/>
    </row>
    <row r="310" spans="1:39" ht="57.6" x14ac:dyDescent="0.3">
      <c r="A310" s="48" t="s">
        <v>106</v>
      </c>
      <c r="B310" s="48" t="s">
        <v>207</v>
      </c>
      <c r="C310" s="49" t="s">
        <v>266</v>
      </c>
      <c r="D310" s="49" t="s">
        <v>342</v>
      </c>
      <c r="E310" s="49" t="s">
        <v>224</v>
      </c>
      <c r="F310" s="48" t="s">
        <v>378</v>
      </c>
      <c r="G310" s="49" t="s">
        <v>399</v>
      </c>
      <c r="H310" s="48" t="s">
        <v>539</v>
      </c>
      <c r="I310" s="50">
        <v>0</v>
      </c>
      <c r="J310" s="50">
        <v>2522435</v>
      </c>
      <c r="K310" s="50">
        <v>0</v>
      </c>
      <c r="L310" s="50">
        <v>0</v>
      </c>
      <c r="M310" s="50">
        <v>0</v>
      </c>
      <c r="N310" s="50">
        <v>2522435</v>
      </c>
      <c r="O310" s="50">
        <v>0</v>
      </c>
      <c r="P310" s="50">
        <v>0</v>
      </c>
      <c r="Q310" s="50">
        <v>0</v>
      </c>
      <c r="R310" s="50">
        <v>0</v>
      </c>
      <c r="S310" s="50">
        <v>0</v>
      </c>
      <c r="T310" s="50">
        <v>2522435</v>
      </c>
      <c r="U310" s="51"/>
      <c r="V310" s="52"/>
      <c r="W310" s="17"/>
      <c r="X310" s="17" t="s">
        <v>716</v>
      </c>
      <c r="Y310" s="15"/>
      <c r="Z310" s="17"/>
      <c r="AA310" s="17" t="s">
        <v>716</v>
      </c>
      <c r="AB310" s="81"/>
      <c r="AC310" s="16" t="s">
        <v>716</v>
      </c>
      <c r="AD310" s="16" t="s">
        <v>848</v>
      </c>
      <c r="AE310" s="16" t="s">
        <v>855</v>
      </c>
      <c r="AF310" s="16" t="str">
        <f>_xlfn.CONCAT(EjecucionHaciendaDiciembre[[#This Row],[NOMBRE_RUBRO]]," - ",EjecucionHaciendaDiciembre[[#This Row],[NOMBRE_RECURSO]])</f>
        <v>Financiación de beneficiarios del régimen subsidiado en salud. Art 10 ley 1122 de 2007 - 1.3.3.2.00-R.B RENTAS CEDIDAS REGIMEN SUBSIDIADO</v>
      </c>
      <c r="AH310" s="1"/>
      <c r="AI310" s="1"/>
      <c r="AJ310" s="1"/>
      <c r="AK310" s="1"/>
      <c r="AL310" s="1"/>
      <c r="AM310" s="1"/>
    </row>
    <row r="311" spans="1:39" ht="43.2" x14ac:dyDescent="0.3">
      <c r="A311" s="48" t="s">
        <v>106</v>
      </c>
      <c r="B311" s="48" t="s">
        <v>207</v>
      </c>
      <c r="C311" s="49" t="s">
        <v>267</v>
      </c>
      <c r="D311" s="49" t="s">
        <v>343</v>
      </c>
      <c r="E311" s="49" t="s">
        <v>224</v>
      </c>
      <c r="F311" s="48" t="s">
        <v>378</v>
      </c>
      <c r="G311" s="49" t="s">
        <v>399</v>
      </c>
      <c r="H311" s="48" t="s">
        <v>539</v>
      </c>
      <c r="I311" s="50">
        <v>0</v>
      </c>
      <c r="J311" s="50">
        <v>5568262</v>
      </c>
      <c r="K311" s="50">
        <v>0</v>
      </c>
      <c r="L311" s="50">
        <v>0</v>
      </c>
      <c r="M311" s="50">
        <v>0</v>
      </c>
      <c r="N311" s="50">
        <v>5568262</v>
      </c>
      <c r="O311" s="50">
        <v>0</v>
      </c>
      <c r="P311" s="50">
        <v>0</v>
      </c>
      <c r="Q311" s="50">
        <v>0</v>
      </c>
      <c r="R311" s="50">
        <v>0</v>
      </c>
      <c r="S311" s="50">
        <v>0</v>
      </c>
      <c r="T311" s="50">
        <v>5568262</v>
      </c>
      <c r="U311" s="51"/>
      <c r="V311" s="52"/>
      <c r="W311" s="17"/>
      <c r="X311" s="17" t="s">
        <v>716</v>
      </c>
      <c r="Y311" s="15"/>
      <c r="Z311" s="17"/>
      <c r="AA311" s="17" t="s">
        <v>716</v>
      </c>
      <c r="AB311" s="81"/>
      <c r="AC311" s="16" t="s">
        <v>716</v>
      </c>
      <c r="AD311" s="16" t="s">
        <v>848</v>
      </c>
      <c r="AE311" s="16" t="s">
        <v>855</v>
      </c>
      <c r="AF311" s="16" t="str">
        <f>_xlfn.CONCAT(EjecucionHaciendaDiciembre[[#This Row],[NOMBRE_RUBRO]]," - ",EjecucionHaciendaDiciembre[[#This Row],[NOMBRE_RECURSO]])</f>
        <v>Financiación de beneficiarios del régimen subsidiado en salud. Art 10 ley 1122 de 2007 - 1.3.2.3.11-R.F. RENTAS CEDIDAS REG SUBSIDIADO</v>
      </c>
      <c r="AH311" s="1"/>
      <c r="AI311" s="1"/>
      <c r="AJ311" s="1"/>
      <c r="AK311" s="1"/>
      <c r="AL311" s="1"/>
      <c r="AM311" s="1"/>
    </row>
    <row r="312" spans="1:39" ht="43.2" x14ac:dyDescent="0.3">
      <c r="A312" s="48" t="s">
        <v>106</v>
      </c>
      <c r="B312" s="48" t="s">
        <v>207</v>
      </c>
      <c r="C312" s="49" t="s">
        <v>216</v>
      </c>
      <c r="D312" s="49" t="s">
        <v>292</v>
      </c>
      <c r="E312" s="49" t="s">
        <v>224</v>
      </c>
      <c r="F312" s="48" t="s">
        <v>378</v>
      </c>
      <c r="G312" s="49" t="s">
        <v>399</v>
      </c>
      <c r="H312" s="48" t="s">
        <v>539</v>
      </c>
      <c r="I312" s="50">
        <v>23958558755</v>
      </c>
      <c r="J312" s="50">
        <v>0</v>
      </c>
      <c r="K312" s="50">
        <v>0</v>
      </c>
      <c r="L312" s="50">
        <v>0</v>
      </c>
      <c r="M312" s="50">
        <v>0</v>
      </c>
      <c r="N312" s="50">
        <v>23958558755</v>
      </c>
      <c r="O312" s="50">
        <v>23958558755</v>
      </c>
      <c r="P312" s="50">
        <v>23958558755</v>
      </c>
      <c r="Q312" s="50">
        <v>14991689305</v>
      </c>
      <c r="R312" s="50">
        <v>14991689305</v>
      </c>
      <c r="S312" s="50">
        <v>14991689305</v>
      </c>
      <c r="T312" s="50">
        <v>0</v>
      </c>
      <c r="U312" s="51" t="s">
        <v>717</v>
      </c>
      <c r="V312" s="52">
        <v>190600400</v>
      </c>
      <c r="W312" s="17"/>
      <c r="X312" s="17" t="s">
        <v>716</v>
      </c>
      <c r="Y312" s="15"/>
      <c r="Z312" s="17"/>
      <c r="AA312" s="17" t="s">
        <v>716</v>
      </c>
      <c r="AB312" s="81"/>
      <c r="AC312" s="16" t="s">
        <v>716</v>
      </c>
      <c r="AD312" s="16" t="s">
        <v>848</v>
      </c>
      <c r="AE312" s="16" t="s">
        <v>855</v>
      </c>
      <c r="AF312" s="16" t="str">
        <f>_xlfn.CONCAT(EjecucionHaciendaDiciembre[[#This Row],[NOMBRE_RUBRO]]," - ",EjecucionHaciendaDiciembre[[#This Row],[NOMBRE_RECURSO]])</f>
        <v>Financiación de beneficiarios del régimen subsidiado en salud. Art 10 ley 1122 de 2007 - 1.2.2.0.00- RENTAS CEDIDAS</v>
      </c>
      <c r="AH312" s="1"/>
      <c r="AI312" s="1"/>
      <c r="AJ312" s="1"/>
      <c r="AK312" s="1"/>
      <c r="AL312" s="1"/>
      <c r="AM312" s="1"/>
    </row>
    <row r="313" spans="1:39" ht="14.4" x14ac:dyDescent="0.3">
      <c r="A313" s="14" t="s">
        <v>107</v>
      </c>
      <c r="B313" s="14" t="s">
        <v>168</v>
      </c>
      <c r="C313" s="15"/>
      <c r="D313" s="15"/>
      <c r="E313" s="15"/>
      <c r="F313" s="14"/>
      <c r="G313" s="15"/>
      <c r="H313" s="14"/>
      <c r="I313" s="16">
        <v>34370775793</v>
      </c>
      <c r="J313" s="16">
        <v>18276341203.720001</v>
      </c>
      <c r="K313" s="16">
        <v>0</v>
      </c>
      <c r="L313" s="16">
        <v>100000000</v>
      </c>
      <c r="M313" s="16">
        <v>100000000</v>
      </c>
      <c r="N313" s="16">
        <v>52647116996.720001</v>
      </c>
      <c r="O313" s="16">
        <v>47507631199.68</v>
      </c>
      <c r="P313" s="16">
        <v>47427631199.68</v>
      </c>
      <c r="Q313" s="16">
        <v>37596440476.68</v>
      </c>
      <c r="R313" s="16">
        <v>37596440476.68</v>
      </c>
      <c r="S313" s="16">
        <v>37596440476.68</v>
      </c>
      <c r="T313" s="16">
        <v>5219485797.04</v>
      </c>
      <c r="U313" s="17"/>
      <c r="V313" s="86"/>
      <c r="W313" s="17"/>
      <c r="X313" s="17" t="s">
        <v>716</v>
      </c>
      <c r="Y313" s="15"/>
      <c r="Z313" s="17"/>
      <c r="AA313" s="17" t="s">
        <v>716</v>
      </c>
      <c r="AB313" s="81"/>
      <c r="AC313" s="16" t="s">
        <v>716</v>
      </c>
      <c r="AD313" s="16" t="s">
        <v>716</v>
      </c>
      <c r="AE313" s="16" t="s">
        <v>716</v>
      </c>
      <c r="AF313" s="16" t="str">
        <f>_xlfn.CONCAT(EjecucionHaciendaDiciembre[[#This Row],[NOMBRE_RUBRO]]," - ",EjecucionHaciendaDiciembre[[#This Row],[NOMBRE_RECURSO]])</f>
        <v xml:space="preserve">A entidades del gobierno - </v>
      </c>
      <c r="AH313" s="1"/>
      <c r="AI313" s="1"/>
      <c r="AJ313" s="1"/>
      <c r="AK313" s="1"/>
      <c r="AL313" s="1"/>
      <c r="AM313" s="1"/>
    </row>
    <row r="314" spans="1:39" ht="14.4" x14ac:dyDescent="0.3">
      <c r="A314" s="14" t="s">
        <v>108</v>
      </c>
      <c r="B314" s="14" t="s">
        <v>169</v>
      </c>
      <c r="C314" s="15"/>
      <c r="D314" s="15"/>
      <c r="E314" s="15"/>
      <c r="F314" s="14"/>
      <c r="G314" s="15"/>
      <c r="H314" s="14"/>
      <c r="I314" s="16">
        <v>34370775793</v>
      </c>
      <c r="J314" s="16">
        <v>18276341203.720001</v>
      </c>
      <c r="K314" s="16">
        <v>0</v>
      </c>
      <c r="L314" s="16">
        <v>100000000</v>
      </c>
      <c r="M314" s="16">
        <v>100000000</v>
      </c>
      <c r="N314" s="16">
        <v>52647116996.720001</v>
      </c>
      <c r="O314" s="16">
        <v>47507631199.68</v>
      </c>
      <c r="P314" s="16">
        <v>47427631199.68</v>
      </c>
      <c r="Q314" s="16">
        <v>37596440476.68</v>
      </c>
      <c r="R314" s="16">
        <v>37596440476.68</v>
      </c>
      <c r="S314" s="16">
        <v>37596440476.68</v>
      </c>
      <c r="T314" s="16">
        <v>5219485797.04</v>
      </c>
      <c r="U314" s="17"/>
      <c r="V314" s="86"/>
      <c r="W314" s="17"/>
      <c r="X314" s="17" t="s">
        <v>716</v>
      </c>
      <c r="Y314" s="15"/>
      <c r="Z314" s="17"/>
      <c r="AA314" s="17" t="s">
        <v>716</v>
      </c>
      <c r="AB314" s="81"/>
      <c r="AC314" s="16" t="s">
        <v>716</v>
      </c>
      <c r="AD314" s="16" t="s">
        <v>716</v>
      </c>
      <c r="AE314" s="16" t="s">
        <v>716</v>
      </c>
      <c r="AF314" s="16" t="str">
        <f>_xlfn.CONCAT(EjecucionHaciendaDiciembre[[#This Row],[NOMBRE_RUBRO]]," - ",EjecucionHaciendaDiciembre[[#This Row],[NOMBRE_RECURSO]])</f>
        <v xml:space="preserve">A otras entidades del gobierno general - </v>
      </c>
      <c r="AH314" s="1"/>
      <c r="AI314" s="1"/>
      <c r="AJ314" s="1"/>
      <c r="AK314" s="1"/>
      <c r="AL314" s="1"/>
      <c r="AM314" s="1"/>
    </row>
    <row r="315" spans="1:39" ht="43.2" x14ac:dyDescent="0.3">
      <c r="A315" s="3" t="s">
        <v>109</v>
      </c>
      <c r="B315" s="3" t="s">
        <v>208</v>
      </c>
      <c r="C315" s="2" t="s">
        <v>224</v>
      </c>
      <c r="D315" s="2" t="s">
        <v>300</v>
      </c>
      <c r="E315" s="2" t="s">
        <v>19</v>
      </c>
      <c r="F315" s="3" t="s">
        <v>381</v>
      </c>
      <c r="G315" s="2" t="s">
        <v>399</v>
      </c>
      <c r="H315" s="3" t="s">
        <v>824</v>
      </c>
      <c r="I315" s="4">
        <v>120000000</v>
      </c>
      <c r="J315" s="4">
        <v>0</v>
      </c>
      <c r="K315" s="4">
        <v>0</v>
      </c>
      <c r="L315" s="4">
        <v>0</v>
      </c>
      <c r="M315" s="4">
        <v>0</v>
      </c>
      <c r="N315" s="4">
        <v>120000000</v>
      </c>
      <c r="O315" s="4">
        <v>110876476</v>
      </c>
      <c r="P315" s="4">
        <v>110876476</v>
      </c>
      <c r="Q315" s="4">
        <v>110876476</v>
      </c>
      <c r="R315" s="4">
        <v>110876476</v>
      </c>
      <c r="S315" s="4">
        <v>110876476</v>
      </c>
      <c r="T315" s="4">
        <v>9123524</v>
      </c>
      <c r="U315" s="23"/>
      <c r="V315" s="24"/>
      <c r="W315" s="17" t="s">
        <v>796</v>
      </c>
      <c r="X315" s="17" t="s">
        <v>716</v>
      </c>
      <c r="Y315" s="15"/>
      <c r="Z315" s="17"/>
      <c r="AA315" s="17" t="s">
        <v>716</v>
      </c>
      <c r="AB315" s="81"/>
      <c r="AC315" s="16" t="s">
        <v>716</v>
      </c>
      <c r="AD315" s="16" t="s">
        <v>847</v>
      </c>
      <c r="AE315" s="16" t="s">
        <v>855</v>
      </c>
      <c r="AF315" s="16" t="str">
        <f>_xlfn.CONCAT(EjecucionHaciendaDiciembre[[#This Row],[NOMBRE_RUBRO]]," - ",EjecucionHaciendaDiciembre[[#This Row],[NOMBRE_RECURSO]])</f>
        <v>Fondos de Servicios Educativos de las Instituciones de Preescolar, Básica y Media - 1.2.4.1.01 - SGP-EDUCACION-PRESTACION DE SERVICIOS</v>
      </c>
      <c r="AH315" s="30"/>
      <c r="AI315" s="30"/>
      <c r="AJ315" s="30"/>
      <c r="AK315" s="30"/>
      <c r="AL315" s="30"/>
      <c r="AM315" s="30"/>
    </row>
    <row r="316" spans="1:39" ht="43.2" x14ac:dyDescent="0.3">
      <c r="A316" s="3" t="s">
        <v>110</v>
      </c>
      <c r="B316" s="3" t="s">
        <v>209</v>
      </c>
      <c r="C316" s="2" t="s">
        <v>215</v>
      </c>
      <c r="D316" s="2" t="s">
        <v>291</v>
      </c>
      <c r="E316" s="2" t="s">
        <v>263</v>
      </c>
      <c r="F316" s="3" t="s">
        <v>394</v>
      </c>
      <c r="G316" s="2" t="s">
        <v>399</v>
      </c>
      <c r="H316" s="3"/>
      <c r="I316" s="4">
        <v>850000000</v>
      </c>
      <c r="J316" s="4">
        <v>0</v>
      </c>
      <c r="K316" s="4">
        <v>0</v>
      </c>
      <c r="L316" s="4">
        <v>0</v>
      </c>
      <c r="M316" s="4">
        <v>0</v>
      </c>
      <c r="N316" s="4">
        <v>850000000</v>
      </c>
      <c r="O316" s="4">
        <v>786499999.97000003</v>
      </c>
      <c r="P316" s="4">
        <v>786499999.97000003</v>
      </c>
      <c r="Q316" s="4">
        <v>786499999.97000003</v>
      </c>
      <c r="R316" s="4">
        <v>786499999.97000003</v>
      </c>
      <c r="S316" s="4">
        <v>786499999.97000003</v>
      </c>
      <c r="T316" s="4">
        <v>63500000.030000001</v>
      </c>
      <c r="U316" s="23"/>
      <c r="V316" s="24">
        <v>3302</v>
      </c>
      <c r="W316" s="17" t="s">
        <v>807</v>
      </c>
      <c r="X316" s="17" t="s">
        <v>716</v>
      </c>
      <c r="Y316" s="15"/>
      <c r="Z316" s="17"/>
      <c r="AA316" s="17" t="s">
        <v>716</v>
      </c>
      <c r="AB316" s="81"/>
      <c r="AC316" s="16" t="s">
        <v>716</v>
      </c>
      <c r="AD316" s="16" t="s">
        <v>849</v>
      </c>
      <c r="AE316" s="16" t="s">
        <v>855</v>
      </c>
      <c r="AF316" s="16" t="str">
        <f>_xlfn.CONCAT(EjecucionHaciendaDiciembre[[#This Row],[NOMBRE_RUBRO]]," - ",EjecucionHaciendaDiciembre[[#This Row],[NOMBRE_RECURSO]])</f>
        <v>A establecimientos públicos y unidades administrativas especiales - 1.2.1.0.00 - INGRESOS CORRIENTES DE LIBRE DESTINACION</v>
      </c>
      <c r="AH316" s="1"/>
      <c r="AI316" s="1"/>
      <c r="AJ316" s="1"/>
      <c r="AK316" s="1"/>
      <c r="AL316" s="1"/>
      <c r="AM316" s="1"/>
    </row>
    <row r="317" spans="1:39" ht="43.2" x14ac:dyDescent="0.3">
      <c r="A317" s="3" t="s">
        <v>110</v>
      </c>
      <c r="B317" s="3" t="s">
        <v>209</v>
      </c>
      <c r="C317" s="2" t="s">
        <v>215</v>
      </c>
      <c r="D317" s="2" t="s">
        <v>291</v>
      </c>
      <c r="E317" s="2" t="s">
        <v>269</v>
      </c>
      <c r="F317" s="3" t="s">
        <v>395</v>
      </c>
      <c r="G317" s="2" t="s">
        <v>399</v>
      </c>
      <c r="H317" s="3"/>
      <c r="I317" s="4">
        <v>850000000</v>
      </c>
      <c r="J317" s="4">
        <v>0</v>
      </c>
      <c r="K317" s="4">
        <v>0</v>
      </c>
      <c r="L317" s="4">
        <v>0</v>
      </c>
      <c r="M317" s="4">
        <v>0</v>
      </c>
      <c r="N317" s="4">
        <v>850000000</v>
      </c>
      <c r="O317" s="4">
        <v>708333333.29999995</v>
      </c>
      <c r="P317" s="4">
        <v>708333333.29999995</v>
      </c>
      <c r="Q317" s="4">
        <v>708333333.29999995</v>
      </c>
      <c r="R317" s="4">
        <v>708333333.29999995</v>
      </c>
      <c r="S317" s="4">
        <v>708333333.29999995</v>
      </c>
      <c r="T317" s="4">
        <v>141666666.69999999</v>
      </c>
      <c r="U317" s="23"/>
      <c r="V317" s="24">
        <v>4301</v>
      </c>
      <c r="W317" s="17" t="s">
        <v>807</v>
      </c>
      <c r="X317" s="17" t="s">
        <v>716</v>
      </c>
      <c r="Y317" s="15"/>
      <c r="Z317" s="17"/>
      <c r="AA317" s="17" t="s">
        <v>716</v>
      </c>
      <c r="AB317" s="81"/>
      <c r="AC317" s="16" t="s">
        <v>716</v>
      </c>
      <c r="AD317" s="16" t="s">
        <v>849</v>
      </c>
      <c r="AE317" s="16" t="s">
        <v>855</v>
      </c>
      <c r="AF317" s="16" t="str">
        <f>_xlfn.CONCAT(EjecucionHaciendaDiciembre[[#This Row],[NOMBRE_RUBRO]]," - ",EjecucionHaciendaDiciembre[[#This Row],[NOMBRE_RECURSO]])</f>
        <v>A establecimientos públicos y unidades administrativas especiales - 1.2.1.0.00 - INGRESOS CORRIENTES DE LIBRE DESTINACION</v>
      </c>
      <c r="AH317" s="1"/>
      <c r="AI317" s="1"/>
      <c r="AJ317" s="1"/>
      <c r="AK317" s="1"/>
      <c r="AL317" s="1"/>
      <c r="AM317" s="1"/>
    </row>
    <row r="318" spans="1:39" ht="43.2" x14ac:dyDescent="0.3">
      <c r="A318" s="3" t="s">
        <v>110</v>
      </c>
      <c r="B318" s="3" t="s">
        <v>209</v>
      </c>
      <c r="C318" s="2" t="s">
        <v>215</v>
      </c>
      <c r="D318" s="2" t="s">
        <v>291</v>
      </c>
      <c r="E318" s="2" t="s">
        <v>375</v>
      </c>
      <c r="F318" s="3" t="s">
        <v>390</v>
      </c>
      <c r="G318" s="55" t="s">
        <v>526</v>
      </c>
      <c r="H318" s="3" t="s">
        <v>601</v>
      </c>
      <c r="I318" s="4">
        <v>100000000</v>
      </c>
      <c r="J318" s="4">
        <v>0</v>
      </c>
      <c r="K318" s="4">
        <v>0</v>
      </c>
      <c r="L318" s="4">
        <v>0</v>
      </c>
      <c r="M318" s="4">
        <v>0</v>
      </c>
      <c r="N318" s="4">
        <v>100000000</v>
      </c>
      <c r="O318" s="4">
        <v>100000000</v>
      </c>
      <c r="P318" s="4">
        <v>100000000</v>
      </c>
      <c r="Q318" s="4">
        <v>100000000</v>
      </c>
      <c r="R318" s="4">
        <v>100000000</v>
      </c>
      <c r="S318" s="4">
        <v>100000000</v>
      </c>
      <c r="T318" s="4">
        <v>0</v>
      </c>
      <c r="U318" s="23" t="s">
        <v>777</v>
      </c>
      <c r="V318" s="31">
        <v>350204600</v>
      </c>
      <c r="W318" s="17" t="s">
        <v>789</v>
      </c>
      <c r="X318" s="17" t="s">
        <v>748</v>
      </c>
      <c r="Y318" s="15" t="s">
        <v>779</v>
      </c>
      <c r="Z318" s="17">
        <v>2024</v>
      </c>
      <c r="AA318" s="17" t="s">
        <v>716</v>
      </c>
      <c r="AB318" s="81">
        <v>2024</v>
      </c>
      <c r="AC318" s="16" t="s">
        <v>716</v>
      </c>
      <c r="AD318" s="16" t="s">
        <v>849</v>
      </c>
      <c r="AE318" s="16" t="s">
        <v>855</v>
      </c>
      <c r="AF318" s="16" t="str">
        <f>_xlfn.CONCAT(EjecucionHaciendaDiciembre[[#This Row],[NOMBRE_RUBRO]]," - ",EjecucionHaciendaDiciembre[[#This Row],[NOMBRE_RECURSO]])</f>
        <v>A establecimientos públicos y unidades administrativas especiales - 1.2.1.0.00 - INGRESOS CORRIENTES DE LIBRE DESTINACION</v>
      </c>
      <c r="AH318" s="1"/>
      <c r="AI318" s="1"/>
      <c r="AJ318" s="1"/>
      <c r="AK318" s="1"/>
      <c r="AL318" s="1"/>
      <c r="AM318" s="1"/>
    </row>
    <row r="319" spans="1:39" ht="43.2" x14ac:dyDescent="0.3">
      <c r="A319" s="60" t="s">
        <v>110</v>
      </c>
      <c r="B319" s="60" t="s">
        <v>209</v>
      </c>
      <c r="C319" s="61" t="s">
        <v>215</v>
      </c>
      <c r="D319" s="61" t="s">
        <v>291</v>
      </c>
      <c r="E319" s="61" t="s">
        <v>233</v>
      </c>
      <c r="F319" s="60" t="s">
        <v>396</v>
      </c>
      <c r="G319" s="61" t="s">
        <v>399</v>
      </c>
      <c r="H319" s="60"/>
      <c r="I319" s="62">
        <v>500000000</v>
      </c>
      <c r="J319" s="62">
        <v>0</v>
      </c>
      <c r="K319" s="62">
        <v>0</v>
      </c>
      <c r="L319" s="62">
        <v>0</v>
      </c>
      <c r="M319" s="62">
        <v>0</v>
      </c>
      <c r="N319" s="62">
        <v>500000000</v>
      </c>
      <c r="O319" s="62">
        <v>500000000</v>
      </c>
      <c r="P319" s="62">
        <v>500000000</v>
      </c>
      <c r="Q319" s="62">
        <v>500000000</v>
      </c>
      <c r="R319" s="62">
        <v>500000000</v>
      </c>
      <c r="S319" s="62">
        <v>500000000</v>
      </c>
      <c r="T319" s="62">
        <v>0</v>
      </c>
      <c r="U319" s="63"/>
      <c r="V319" s="89">
        <v>3301</v>
      </c>
      <c r="W319" s="17" t="s">
        <v>711</v>
      </c>
      <c r="X319" s="17" t="s">
        <v>716</v>
      </c>
      <c r="Y319" s="15"/>
      <c r="Z319" s="17"/>
      <c r="AA319" s="17" t="s">
        <v>716</v>
      </c>
      <c r="AB319" s="81"/>
      <c r="AC319" s="16" t="s">
        <v>716</v>
      </c>
      <c r="AD319" s="16" t="s">
        <v>849</v>
      </c>
      <c r="AE319" s="16" t="s">
        <v>855</v>
      </c>
      <c r="AF319" s="16" t="str">
        <f>_xlfn.CONCAT(EjecucionHaciendaDiciembre[[#This Row],[NOMBRE_RUBRO]]," - ",EjecucionHaciendaDiciembre[[#This Row],[NOMBRE_RECURSO]])</f>
        <v>A establecimientos públicos y unidades administrativas especiales - 1.2.1.0.00 - INGRESOS CORRIENTES DE LIBRE DESTINACION</v>
      </c>
      <c r="AH319" s="1"/>
      <c r="AI319" s="1"/>
      <c r="AJ319" s="1"/>
      <c r="AK319" s="1"/>
      <c r="AL319" s="1"/>
      <c r="AM319" s="1"/>
    </row>
    <row r="320" spans="1:39" ht="43.2" x14ac:dyDescent="0.3">
      <c r="A320" s="48" t="s">
        <v>110</v>
      </c>
      <c r="B320" s="48" t="s">
        <v>209</v>
      </c>
      <c r="C320" s="49" t="s">
        <v>268</v>
      </c>
      <c r="D320" s="49" t="s">
        <v>344</v>
      </c>
      <c r="E320" s="49" t="s">
        <v>368</v>
      </c>
      <c r="F320" s="48" t="s">
        <v>380</v>
      </c>
      <c r="G320" s="49" t="s">
        <v>399</v>
      </c>
      <c r="H320" s="48" t="s">
        <v>539</v>
      </c>
      <c r="I320" s="50">
        <v>10102419319</v>
      </c>
      <c r="J320" s="50">
        <v>0</v>
      </c>
      <c r="K320" s="50">
        <v>0</v>
      </c>
      <c r="L320" s="50">
        <v>0</v>
      </c>
      <c r="M320" s="50">
        <v>0</v>
      </c>
      <c r="N320" s="50">
        <v>10102419319</v>
      </c>
      <c r="O320" s="50">
        <v>10102419319</v>
      </c>
      <c r="P320" s="50">
        <v>10102419319</v>
      </c>
      <c r="Q320" s="50">
        <v>10102419319</v>
      </c>
      <c r="R320" s="50">
        <v>10102419319</v>
      </c>
      <c r="S320" s="50">
        <v>10102419319</v>
      </c>
      <c r="T320" s="50">
        <v>0</v>
      </c>
      <c r="U320" s="51"/>
      <c r="V320" s="52">
        <v>2201</v>
      </c>
      <c r="W320" s="17" t="s">
        <v>710</v>
      </c>
      <c r="X320" s="17" t="s">
        <v>716</v>
      </c>
      <c r="Y320" s="15"/>
      <c r="Z320" s="17"/>
      <c r="AA320" s="17" t="s">
        <v>716</v>
      </c>
      <c r="AB320" s="81"/>
      <c r="AC320" s="16" t="s">
        <v>716</v>
      </c>
      <c r="AD320" s="16" t="s">
        <v>848</v>
      </c>
      <c r="AE320" s="16" t="s">
        <v>855</v>
      </c>
      <c r="AF320" s="16" t="str">
        <f>_xlfn.CONCAT(EjecucionHaciendaDiciembre[[#This Row],[NOMBRE_RUBRO]]," - ",EjecucionHaciendaDiciembre[[#This Row],[NOMBRE_RECURSO]])</f>
        <v>A establecimientos públicos y unidades administrativas especiales - 1.2.3.1.19 - ESTAMPILLAS</v>
      </c>
      <c r="AH320" s="1"/>
      <c r="AI320" s="1"/>
      <c r="AJ320" s="1"/>
      <c r="AK320" s="1"/>
      <c r="AL320" s="1"/>
      <c r="AM320" s="1"/>
    </row>
    <row r="321" spans="1:39" ht="66" customHeight="1" x14ac:dyDescent="0.3">
      <c r="A321" s="60" t="s">
        <v>110</v>
      </c>
      <c r="B321" s="60" t="s">
        <v>209</v>
      </c>
      <c r="C321" s="61" t="s">
        <v>269</v>
      </c>
      <c r="D321" s="61" t="s">
        <v>345</v>
      </c>
      <c r="E321" s="61" t="s">
        <v>268</v>
      </c>
      <c r="F321" s="60" t="s">
        <v>397</v>
      </c>
      <c r="G321" s="61" t="s">
        <v>399</v>
      </c>
      <c r="H321" s="60"/>
      <c r="I321" s="62">
        <v>11492197799</v>
      </c>
      <c r="J321" s="62">
        <v>3334895039</v>
      </c>
      <c r="K321" s="62">
        <v>0</v>
      </c>
      <c r="L321" s="62">
        <v>0</v>
      </c>
      <c r="M321" s="62">
        <v>0</v>
      </c>
      <c r="N321" s="62">
        <v>14827092838</v>
      </c>
      <c r="O321" s="62">
        <v>14827092838</v>
      </c>
      <c r="P321" s="62">
        <v>14827092838</v>
      </c>
      <c r="Q321" s="62">
        <v>14827092838</v>
      </c>
      <c r="R321" s="62">
        <v>14827092838</v>
      </c>
      <c r="S321" s="62">
        <v>14827092838</v>
      </c>
      <c r="T321" s="62">
        <v>0</v>
      </c>
      <c r="U321" s="63" t="s">
        <v>916</v>
      </c>
      <c r="V321" s="89">
        <v>4003</v>
      </c>
      <c r="W321" s="17" t="s">
        <v>816</v>
      </c>
      <c r="X321" s="17" t="s">
        <v>716</v>
      </c>
      <c r="Y321" s="15"/>
      <c r="Z321" s="17"/>
      <c r="AA321" s="17" t="s">
        <v>716</v>
      </c>
      <c r="AB321" s="81"/>
      <c r="AC321" s="16" t="s">
        <v>716</v>
      </c>
      <c r="AD321" s="16" t="s">
        <v>851</v>
      </c>
      <c r="AE321" s="16" t="s">
        <v>855</v>
      </c>
      <c r="AF321" s="16" t="str">
        <f>_xlfn.CONCAT(EjecucionHaciendaDiciembre[[#This Row],[NOMBRE_RUBRO]]," - ",EjecucionHaciendaDiciembre[[#This Row],[NOMBRE_RECURSO]])</f>
        <v>A establecimientos públicos y unidades administrativas especiales - 1.2.4.6.00 - SGP-AGUA POTABLE Y SANEAMIENTO BASICO</v>
      </c>
      <c r="AH321" s="1"/>
      <c r="AI321" s="1"/>
      <c r="AJ321" s="1"/>
      <c r="AK321" s="1"/>
      <c r="AL321" s="1"/>
      <c r="AM321" s="1"/>
    </row>
    <row r="322" spans="1:39" ht="43.2" x14ac:dyDescent="0.3">
      <c r="A322" s="3" t="s">
        <v>110</v>
      </c>
      <c r="B322" s="3" t="s">
        <v>209</v>
      </c>
      <c r="C322" s="2" t="s">
        <v>218</v>
      </c>
      <c r="D322" s="2" t="s">
        <v>294</v>
      </c>
      <c r="E322" s="2" t="s">
        <v>263</v>
      </c>
      <c r="F322" s="3" t="s">
        <v>394</v>
      </c>
      <c r="G322" s="2" t="s">
        <v>399</v>
      </c>
      <c r="H322" s="3"/>
      <c r="I322" s="4">
        <v>0</v>
      </c>
      <c r="J322" s="4">
        <v>446000000</v>
      </c>
      <c r="K322" s="4">
        <v>0</v>
      </c>
      <c r="L322" s="4">
        <v>0</v>
      </c>
      <c r="M322" s="4">
        <v>100000000</v>
      </c>
      <c r="N322" s="4">
        <v>346000000</v>
      </c>
      <c r="O322" s="4">
        <v>346000000</v>
      </c>
      <c r="P322" s="4">
        <v>346000000</v>
      </c>
      <c r="Q322" s="4">
        <v>346000000</v>
      </c>
      <c r="R322" s="4">
        <v>346000000</v>
      </c>
      <c r="S322" s="4">
        <v>346000000</v>
      </c>
      <c r="T322" s="4">
        <v>0</v>
      </c>
      <c r="U322" s="23"/>
      <c r="V322" s="24">
        <v>3302</v>
      </c>
      <c r="W322" s="17" t="s">
        <v>808</v>
      </c>
      <c r="X322" s="17" t="s">
        <v>716</v>
      </c>
      <c r="Y322" s="15"/>
      <c r="Z322" s="17"/>
      <c r="AA322" s="17" t="s">
        <v>716</v>
      </c>
      <c r="AB322" s="81"/>
      <c r="AC322" s="16" t="s">
        <v>716</v>
      </c>
      <c r="AD322" s="16" t="s">
        <v>849</v>
      </c>
      <c r="AE322" s="16" t="s">
        <v>855</v>
      </c>
      <c r="AF322" s="16" t="str">
        <f>_xlfn.CONCAT(EjecucionHaciendaDiciembre[[#This Row],[NOMBRE_RUBRO]]," - ",EjecucionHaciendaDiciembre[[#This Row],[NOMBRE_RECURSO]])</f>
        <v>A establecimientos públicos y unidades administrativas especiales - 1.3.3.1.00-RECURSOS DEL BALANCE DE LIBRE DESTINACION</v>
      </c>
      <c r="AH322" s="1"/>
      <c r="AI322" s="1"/>
      <c r="AJ322" s="1"/>
      <c r="AK322" s="1"/>
      <c r="AL322" s="1"/>
      <c r="AM322" s="1"/>
    </row>
    <row r="323" spans="1:39" ht="43.2" x14ac:dyDescent="0.3">
      <c r="A323" s="3" t="s">
        <v>110</v>
      </c>
      <c r="B323" s="3" t="s">
        <v>209</v>
      </c>
      <c r="C323" s="2" t="s">
        <v>218</v>
      </c>
      <c r="D323" s="2" t="s">
        <v>294</v>
      </c>
      <c r="E323" s="2" t="s">
        <v>269</v>
      </c>
      <c r="F323" s="3" t="s">
        <v>395</v>
      </c>
      <c r="G323" s="2" t="s">
        <v>399</v>
      </c>
      <c r="H323" s="3"/>
      <c r="I323" s="4">
        <v>0</v>
      </c>
      <c r="J323" s="4">
        <v>1080750000</v>
      </c>
      <c r="K323" s="4">
        <v>0</v>
      </c>
      <c r="L323" s="4">
        <v>100000000</v>
      </c>
      <c r="M323" s="4">
        <v>0</v>
      </c>
      <c r="N323" s="4">
        <v>1180750000</v>
      </c>
      <c r="O323" s="4">
        <v>1180750000</v>
      </c>
      <c r="P323" s="4">
        <v>1180750000</v>
      </c>
      <c r="Q323" s="4">
        <v>1180750000</v>
      </c>
      <c r="R323" s="4">
        <v>1180750000</v>
      </c>
      <c r="S323" s="4">
        <v>1180750000</v>
      </c>
      <c r="T323" s="4">
        <v>0</v>
      </c>
      <c r="U323" s="23"/>
      <c r="V323" s="24">
        <v>4301</v>
      </c>
      <c r="W323" s="17" t="s">
        <v>808</v>
      </c>
      <c r="X323" s="17" t="s">
        <v>716</v>
      </c>
      <c r="Y323" s="15"/>
      <c r="Z323" s="17"/>
      <c r="AA323" s="17" t="s">
        <v>716</v>
      </c>
      <c r="AB323" s="81"/>
      <c r="AC323" s="16" t="s">
        <v>716</v>
      </c>
      <c r="AD323" s="16" t="s">
        <v>849</v>
      </c>
      <c r="AE323" s="16" t="s">
        <v>855</v>
      </c>
      <c r="AF323" s="16" t="str">
        <f>_xlfn.CONCAT(EjecucionHaciendaDiciembre[[#This Row],[NOMBRE_RUBRO]]," - ",EjecucionHaciendaDiciembre[[#This Row],[NOMBRE_RECURSO]])</f>
        <v>A establecimientos públicos y unidades administrativas especiales - 1.3.3.1.00-RECURSOS DEL BALANCE DE LIBRE DESTINACION</v>
      </c>
      <c r="AH323" s="1"/>
      <c r="AI323" s="1"/>
      <c r="AJ323" s="1"/>
      <c r="AK323" s="1"/>
      <c r="AL323" s="1"/>
      <c r="AM323" s="1"/>
    </row>
    <row r="324" spans="1:39" ht="43.2" x14ac:dyDescent="0.3">
      <c r="A324" s="64" t="s">
        <v>110</v>
      </c>
      <c r="B324" s="64" t="s">
        <v>209</v>
      </c>
      <c r="C324" s="65" t="s">
        <v>218</v>
      </c>
      <c r="D324" s="65" t="s">
        <v>294</v>
      </c>
      <c r="E324" s="65" t="s">
        <v>268</v>
      </c>
      <c r="F324" s="64" t="s">
        <v>397</v>
      </c>
      <c r="G324" s="65" t="s">
        <v>399</v>
      </c>
      <c r="H324" s="64"/>
      <c r="I324" s="66">
        <v>0</v>
      </c>
      <c r="J324" s="66">
        <v>80000000</v>
      </c>
      <c r="K324" s="66">
        <v>0</v>
      </c>
      <c r="L324" s="66">
        <v>0</v>
      </c>
      <c r="M324" s="66">
        <v>0</v>
      </c>
      <c r="N324" s="66">
        <v>80000000</v>
      </c>
      <c r="O324" s="66">
        <v>80000000</v>
      </c>
      <c r="P324" s="66">
        <v>0</v>
      </c>
      <c r="Q324" s="66">
        <v>0</v>
      </c>
      <c r="R324" s="66">
        <v>0</v>
      </c>
      <c r="S324" s="66">
        <v>0</v>
      </c>
      <c r="T324" s="66">
        <v>80000000</v>
      </c>
      <c r="U324" s="67"/>
      <c r="V324" s="90"/>
      <c r="W324" s="17"/>
      <c r="X324" s="17" t="s">
        <v>716</v>
      </c>
      <c r="Y324" s="15"/>
      <c r="Z324" s="17"/>
      <c r="AA324" s="17" t="s">
        <v>716</v>
      </c>
      <c r="AB324" s="81"/>
      <c r="AC324" s="16" t="s">
        <v>716</v>
      </c>
      <c r="AD324" s="16" t="s">
        <v>849</v>
      </c>
      <c r="AE324" s="16" t="s">
        <v>855</v>
      </c>
      <c r="AF324" s="16" t="str">
        <f>_xlfn.CONCAT(EjecucionHaciendaDiciembre[[#This Row],[NOMBRE_RUBRO]]," - ",EjecucionHaciendaDiciembre[[#This Row],[NOMBRE_RECURSO]])</f>
        <v>A establecimientos públicos y unidades administrativas especiales - 1.3.3.1.00-RECURSOS DEL BALANCE DE LIBRE DESTINACION</v>
      </c>
      <c r="AH324" s="1"/>
      <c r="AI324" s="1"/>
      <c r="AJ324" s="1"/>
      <c r="AK324" s="1"/>
      <c r="AL324" s="1"/>
      <c r="AM324" s="1"/>
    </row>
    <row r="325" spans="1:39" ht="43.2" x14ac:dyDescent="0.3">
      <c r="A325" s="3" t="s">
        <v>110</v>
      </c>
      <c r="B325" s="3" t="s">
        <v>209</v>
      </c>
      <c r="C325" s="2" t="s">
        <v>270</v>
      </c>
      <c r="D325" s="2" t="s">
        <v>346</v>
      </c>
      <c r="E325" s="2" t="s">
        <v>269</v>
      </c>
      <c r="F325" s="3" t="s">
        <v>395</v>
      </c>
      <c r="G325" s="2" t="s">
        <v>399</v>
      </c>
      <c r="H325" s="3"/>
      <c r="I325" s="4">
        <v>0</v>
      </c>
      <c r="J325" s="4">
        <v>308859283.72000003</v>
      </c>
      <c r="K325" s="4">
        <v>0</v>
      </c>
      <c r="L325" s="4">
        <v>0</v>
      </c>
      <c r="M325" s="4">
        <v>0</v>
      </c>
      <c r="N325" s="4">
        <v>308859283.72000003</v>
      </c>
      <c r="O325" s="4">
        <v>308859283.72000003</v>
      </c>
      <c r="P325" s="4">
        <v>308859283.72000003</v>
      </c>
      <c r="Q325" s="4">
        <v>308859283.72000003</v>
      </c>
      <c r="R325" s="4">
        <v>308859283.72000003</v>
      </c>
      <c r="S325" s="4">
        <v>308859283.72000003</v>
      </c>
      <c r="T325" s="4">
        <v>0</v>
      </c>
      <c r="U325" s="23"/>
      <c r="V325" s="24">
        <v>4301</v>
      </c>
      <c r="W325" s="17" t="s">
        <v>808</v>
      </c>
      <c r="X325" s="17" t="s">
        <v>716</v>
      </c>
      <c r="Y325" s="15"/>
      <c r="Z325" s="17"/>
      <c r="AA325" s="17" t="s">
        <v>716</v>
      </c>
      <c r="AB325" s="81"/>
      <c r="AC325" s="16" t="s">
        <v>716</v>
      </c>
      <c r="AD325" s="16" t="s">
        <v>848</v>
      </c>
      <c r="AE325" s="16" t="s">
        <v>855</v>
      </c>
      <c r="AF325" s="16" t="str">
        <f>_xlfn.CONCAT(EjecucionHaciendaDiciembre[[#This Row],[NOMBRE_RUBRO]]," - ",EjecucionHaciendaDiciembre[[#This Row],[NOMBRE_RECURSO]])</f>
        <v>A establecimientos públicos y unidades administrativas especiales - 1.3.3.3.19-R.B. TASA PRO DEPORTE</v>
      </c>
      <c r="AH325" s="1"/>
      <c r="AI325" s="1"/>
      <c r="AJ325" s="1"/>
      <c r="AK325" s="1"/>
      <c r="AL325" s="1"/>
      <c r="AM325" s="1"/>
    </row>
    <row r="326" spans="1:39" ht="43.2" x14ac:dyDescent="0.3">
      <c r="A326" s="3" t="s">
        <v>110</v>
      </c>
      <c r="B326" s="3" t="s">
        <v>209</v>
      </c>
      <c r="C326" s="2" t="s">
        <v>219</v>
      </c>
      <c r="D326" s="2" t="s">
        <v>295</v>
      </c>
      <c r="E326" s="2" t="s">
        <v>263</v>
      </c>
      <c r="F326" s="3" t="s">
        <v>394</v>
      </c>
      <c r="G326" s="2" t="s">
        <v>399</v>
      </c>
      <c r="H326" s="3"/>
      <c r="I326" s="4">
        <v>0</v>
      </c>
      <c r="J326" s="4">
        <v>33000000</v>
      </c>
      <c r="K326" s="4">
        <v>0</v>
      </c>
      <c r="L326" s="4">
        <v>0</v>
      </c>
      <c r="M326" s="4">
        <v>0</v>
      </c>
      <c r="N326" s="4">
        <v>33000000</v>
      </c>
      <c r="O326" s="4">
        <v>33000000</v>
      </c>
      <c r="P326" s="4">
        <v>33000000</v>
      </c>
      <c r="Q326" s="4">
        <v>33000000</v>
      </c>
      <c r="R326" s="4">
        <v>33000000</v>
      </c>
      <c r="S326" s="4">
        <v>33000000</v>
      </c>
      <c r="T326" s="4">
        <v>0</v>
      </c>
      <c r="U326" s="23"/>
      <c r="V326" s="24">
        <v>3302</v>
      </c>
      <c r="W326" s="17" t="s">
        <v>808</v>
      </c>
      <c r="X326" s="17" t="s">
        <v>716</v>
      </c>
      <c r="Y326" s="15"/>
      <c r="Z326" s="17"/>
      <c r="AA326" s="17" t="s">
        <v>716</v>
      </c>
      <c r="AB326" s="81"/>
      <c r="AC326" s="16" t="s">
        <v>716</v>
      </c>
      <c r="AD326" s="16" t="s">
        <v>849</v>
      </c>
      <c r="AE326" s="16" t="s">
        <v>855</v>
      </c>
      <c r="AF326" s="16" t="str">
        <f>_xlfn.CONCAT(EjecucionHaciendaDiciembre[[#This Row],[NOMBRE_RUBRO]]," - ",EjecucionHaciendaDiciembre[[#This Row],[NOMBRE_RECURSO]])</f>
        <v>A establecimientos públicos y unidades administrativas especiales - 1.3.2.3.11-OTROS RENDIMIENTOS FINANCIEROS ICLD</v>
      </c>
      <c r="AH326" s="1"/>
      <c r="AI326" s="1"/>
      <c r="AJ326" s="1"/>
      <c r="AK326" s="1"/>
      <c r="AL326" s="1"/>
      <c r="AM326" s="1"/>
    </row>
    <row r="327" spans="1:39" ht="57.6" x14ac:dyDescent="0.3">
      <c r="A327" s="3" t="s">
        <v>110</v>
      </c>
      <c r="B327" s="3" t="s">
        <v>209</v>
      </c>
      <c r="C327" s="2" t="s">
        <v>271</v>
      </c>
      <c r="D327" s="2" t="s">
        <v>347</v>
      </c>
      <c r="E327" s="2" t="s">
        <v>269</v>
      </c>
      <c r="F327" s="3" t="s">
        <v>395</v>
      </c>
      <c r="G327" s="2" t="s">
        <v>399</v>
      </c>
      <c r="H327" s="3"/>
      <c r="I327" s="4">
        <v>1452096577</v>
      </c>
      <c r="J327" s="4">
        <v>0</v>
      </c>
      <c r="K327" s="4">
        <v>0</v>
      </c>
      <c r="L327" s="4">
        <v>0</v>
      </c>
      <c r="M327" s="4">
        <v>0</v>
      </c>
      <c r="N327" s="4">
        <v>1452096577</v>
      </c>
      <c r="O327" s="4">
        <v>1432737381</v>
      </c>
      <c r="P327" s="4">
        <v>1432737381</v>
      </c>
      <c r="Q327" s="4">
        <v>1432737381</v>
      </c>
      <c r="R327" s="4">
        <v>1432737381</v>
      </c>
      <c r="S327" s="4">
        <v>1432737381</v>
      </c>
      <c r="T327" s="4">
        <v>19359196</v>
      </c>
      <c r="U327" s="23"/>
      <c r="V327" s="24">
        <v>4301</v>
      </c>
      <c r="W327" s="17" t="s">
        <v>808</v>
      </c>
      <c r="X327" s="17" t="s">
        <v>716</v>
      </c>
      <c r="Y327" s="15"/>
      <c r="Z327" s="17"/>
      <c r="AA327" s="17" t="s">
        <v>716</v>
      </c>
      <c r="AB327" s="81"/>
      <c r="AC327" s="16" t="s">
        <v>716</v>
      </c>
      <c r="AD327" s="16" t="s">
        <v>848</v>
      </c>
      <c r="AE327" s="16" t="s">
        <v>855</v>
      </c>
      <c r="AF327" s="16" t="str">
        <f>_xlfn.CONCAT(EjecucionHaciendaDiciembre[[#This Row],[NOMBRE_RUBRO]]," - ",EjecucionHaciendaDiciembre[[#This Row],[NOMBRE_RECURSO]])</f>
        <v>A establecimientos públicos y unidades administrativas especiales - 1.2.3.1.08-IMPUESTO AL CONSUMO DE LICORES, VINOS, APERITIVOS Y SIMILARES</v>
      </c>
      <c r="AH327" s="1"/>
      <c r="AI327" s="1"/>
      <c r="AJ327" s="1"/>
      <c r="AK327" s="1"/>
      <c r="AL327" s="1"/>
      <c r="AM327" s="1"/>
    </row>
    <row r="328" spans="1:39" ht="43.2" x14ac:dyDescent="0.3">
      <c r="A328" s="3" t="s">
        <v>110</v>
      </c>
      <c r="B328" s="3" t="s">
        <v>209</v>
      </c>
      <c r="C328" s="2" t="s">
        <v>272</v>
      </c>
      <c r="D328" s="2" t="s">
        <v>348</v>
      </c>
      <c r="E328" s="2" t="s">
        <v>269</v>
      </c>
      <c r="F328" s="3" t="s">
        <v>395</v>
      </c>
      <c r="G328" s="2" t="s">
        <v>399</v>
      </c>
      <c r="H328" s="3"/>
      <c r="I328" s="4">
        <v>687203174</v>
      </c>
      <c r="J328" s="4">
        <v>0</v>
      </c>
      <c r="K328" s="4">
        <v>0</v>
      </c>
      <c r="L328" s="4">
        <v>0</v>
      </c>
      <c r="M328" s="4">
        <v>0</v>
      </c>
      <c r="N328" s="4">
        <v>687203174</v>
      </c>
      <c r="O328" s="4">
        <v>543850160</v>
      </c>
      <c r="P328" s="4">
        <v>543850160</v>
      </c>
      <c r="Q328" s="4">
        <v>543850160</v>
      </c>
      <c r="R328" s="4">
        <v>543850160</v>
      </c>
      <c r="S328" s="4">
        <v>543850160</v>
      </c>
      <c r="T328" s="4">
        <v>143353014</v>
      </c>
      <c r="U328" s="23"/>
      <c r="V328" s="24">
        <v>4301</v>
      </c>
      <c r="W328" s="17" t="s">
        <v>808</v>
      </c>
      <c r="X328" s="17" t="s">
        <v>716</v>
      </c>
      <c r="Y328" s="15"/>
      <c r="Z328" s="17"/>
      <c r="AA328" s="17" t="s">
        <v>716</v>
      </c>
      <c r="AB328" s="81"/>
      <c r="AC328" s="16" t="s">
        <v>716</v>
      </c>
      <c r="AD328" s="16" t="s">
        <v>848</v>
      </c>
      <c r="AE328" s="16" t="s">
        <v>855</v>
      </c>
      <c r="AF328" s="16" t="str">
        <f>_xlfn.CONCAT(EjecucionHaciendaDiciembre[[#This Row],[NOMBRE_RUBRO]]," - ",EjecucionHaciendaDiciembre[[#This Row],[NOMBRE_RECURSO]])</f>
        <v>A establecimientos públicos y unidades administrativas especiales - 1.2.3.1.10-IMPUESTO AL CONSUMO DE CIGARRILLOS Y TABACO</v>
      </c>
      <c r="AH328" s="1"/>
      <c r="AI328" s="1"/>
      <c r="AJ328" s="1"/>
      <c r="AK328" s="1"/>
      <c r="AL328" s="1"/>
      <c r="AM328" s="1"/>
    </row>
    <row r="329" spans="1:39" ht="43.2" x14ac:dyDescent="0.3">
      <c r="A329" s="3" t="s">
        <v>110</v>
      </c>
      <c r="B329" s="3" t="s">
        <v>209</v>
      </c>
      <c r="C329" s="2" t="s">
        <v>273</v>
      </c>
      <c r="D329" s="2" t="s">
        <v>349</v>
      </c>
      <c r="E329" s="2" t="s">
        <v>269</v>
      </c>
      <c r="F329" s="3" t="s">
        <v>395</v>
      </c>
      <c r="G329" s="2" t="s">
        <v>399</v>
      </c>
      <c r="H329" s="3"/>
      <c r="I329" s="4">
        <v>2691198711</v>
      </c>
      <c r="J329" s="4">
        <v>0</v>
      </c>
      <c r="K329" s="4">
        <v>0</v>
      </c>
      <c r="L329" s="4">
        <v>0</v>
      </c>
      <c r="M329" s="4">
        <v>0</v>
      </c>
      <c r="N329" s="4">
        <v>2691198711</v>
      </c>
      <c r="O329" s="4">
        <v>2691198711</v>
      </c>
      <c r="P329" s="4">
        <v>2691198711</v>
      </c>
      <c r="Q329" s="4">
        <v>2691198711</v>
      </c>
      <c r="R329" s="4">
        <v>2691198711</v>
      </c>
      <c r="S329" s="4">
        <v>2691198711</v>
      </c>
      <c r="T329" s="4">
        <v>0</v>
      </c>
      <c r="U329" s="23"/>
      <c r="V329" s="24">
        <v>4301</v>
      </c>
      <c r="W329" s="17" t="s">
        <v>808</v>
      </c>
      <c r="X329" s="17" t="s">
        <v>716</v>
      </c>
      <c r="Y329" s="15"/>
      <c r="Z329" s="17"/>
      <c r="AA329" s="17" t="s">
        <v>716</v>
      </c>
      <c r="AB329" s="81"/>
      <c r="AC329" s="16" t="s">
        <v>716</v>
      </c>
      <c r="AD329" s="16" t="s">
        <v>848</v>
      </c>
      <c r="AE329" s="16" t="s">
        <v>855</v>
      </c>
      <c r="AF329" s="16" t="str">
        <f>_xlfn.CONCAT(EjecucionHaciendaDiciembre[[#This Row],[NOMBRE_RUBRO]]," - ",EjecucionHaciendaDiciembre[[#This Row],[NOMBRE_RECURSO]])</f>
        <v>A establecimientos públicos y unidades administrativas especiales - 1.2.3.1.18-TASA PRODEPORTE Y RECREACION</v>
      </c>
      <c r="AH329" s="1"/>
      <c r="AI329" s="1"/>
      <c r="AJ329" s="1"/>
      <c r="AK329" s="1"/>
      <c r="AL329" s="1"/>
      <c r="AM329" s="1"/>
    </row>
    <row r="330" spans="1:39" ht="57.6" x14ac:dyDescent="0.3">
      <c r="A330" s="32" t="s">
        <v>110</v>
      </c>
      <c r="B330" s="32" t="s">
        <v>209</v>
      </c>
      <c r="C330" s="33" t="s">
        <v>274</v>
      </c>
      <c r="D330" s="33" t="s">
        <v>350</v>
      </c>
      <c r="E330" s="33" t="s">
        <v>263</v>
      </c>
      <c r="F330" s="32" t="s">
        <v>394</v>
      </c>
      <c r="G330" s="33" t="s">
        <v>399</v>
      </c>
      <c r="H330" s="32"/>
      <c r="I330" s="34">
        <v>248715284</v>
      </c>
      <c r="J330" s="34">
        <v>0</v>
      </c>
      <c r="K330" s="34">
        <v>0</v>
      </c>
      <c r="L330" s="34">
        <v>0</v>
      </c>
      <c r="M330" s="34">
        <v>0</v>
      </c>
      <c r="N330" s="34">
        <v>248715284</v>
      </c>
      <c r="O330" s="34">
        <v>0</v>
      </c>
      <c r="P330" s="34">
        <v>0</v>
      </c>
      <c r="Q330" s="34">
        <v>0</v>
      </c>
      <c r="R330" s="34">
        <v>0</v>
      </c>
      <c r="S330" s="34">
        <v>0</v>
      </c>
      <c r="T330" s="34">
        <v>248715284</v>
      </c>
      <c r="U330" s="35"/>
      <c r="V330" s="85"/>
      <c r="W330" s="17"/>
      <c r="X330" s="17" t="s">
        <v>716</v>
      </c>
      <c r="Y330" s="15"/>
      <c r="Z330" s="17"/>
      <c r="AA330" s="17" t="s">
        <v>716</v>
      </c>
      <c r="AB330" s="81"/>
      <c r="AC330" s="16" t="s">
        <v>716</v>
      </c>
      <c r="AD330" s="16" t="s">
        <v>848</v>
      </c>
      <c r="AE330" s="16" t="s">
        <v>855</v>
      </c>
      <c r="AF330" s="16" t="str">
        <f>_xlfn.CONCAT(EjecucionHaciendaDiciembre[[#This Row],[NOMBRE_RUBRO]]," - ",EjecucionHaciendaDiciembre[[#This Row],[NOMBRE_RECURSO]])</f>
        <v>A establecimientos públicos y unidades administrativas especiales - 1.2.2.0.00 - INGRESOS CORRIENTES DE DESTINACION ESPECIFICA TELEFONIA MOVIL</v>
      </c>
      <c r="AH330" s="1"/>
      <c r="AI330" s="1"/>
      <c r="AJ330" s="1"/>
      <c r="AK330" s="1"/>
      <c r="AL330" s="1"/>
      <c r="AM330" s="1"/>
    </row>
    <row r="331" spans="1:39" ht="43.2" x14ac:dyDescent="0.3">
      <c r="A331" s="3" t="s">
        <v>110</v>
      </c>
      <c r="B331" s="3" t="s">
        <v>209</v>
      </c>
      <c r="C331" s="2" t="s">
        <v>275</v>
      </c>
      <c r="D331" s="2" t="s">
        <v>351</v>
      </c>
      <c r="E331" s="2" t="s">
        <v>269</v>
      </c>
      <c r="F331" s="3" t="s">
        <v>395</v>
      </c>
      <c r="G331" s="2" t="s">
        <v>399</v>
      </c>
      <c r="H331" s="3"/>
      <c r="I331" s="4">
        <v>0</v>
      </c>
      <c r="J331" s="4">
        <v>83307360</v>
      </c>
      <c r="K331" s="4">
        <v>0</v>
      </c>
      <c r="L331" s="4">
        <v>0</v>
      </c>
      <c r="M331" s="4">
        <v>0</v>
      </c>
      <c r="N331" s="4">
        <v>83307360</v>
      </c>
      <c r="O331" s="4">
        <v>83307360</v>
      </c>
      <c r="P331" s="4">
        <v>83307360</v>
      </c>
      <c r="Q331" s="4">
        <v>83307360</v>
      </c>
      <c r="R331" s="4">
        <v>83307360</v>
      </c>
      <c r="S331" s="4">
        <v>83307360</v>
      </c>
      <c r="T331" s="4">
        <v>0</v>
      </c>
      <c r="U331" s="23"/>
      <c r="V331" s="24">
        <v>4301</v>
      </c>
      <c r="W331" s="17" t="s">
        <v>808</v>
      </c>
      <c r="X331" s="17" t="s">
        <v>716</v>
      </c>
      <c r="Y331" s="15"/>
      <c r="Z331" s="17"/>
      <c r="AA331" s="17" t="s">
        <v>716</v>
      </c>
      <c r="AB331" s="81"/>
      <c r="AC331" s="16" t="s">
        <v>716</v>
      </c>
      <c r="AD331" s="16" t="s">
        <v>849</v>
      </c>
      <c r="AE331" s="16" t="s">
        <v>855</v>
      </c>
      <c r="AF331" s="16" t="str">
        <f>_xlfn.CONCAT(EjecucionHaciendaDiciembre[[#This Row],[NOMBRE_RUBRO]]," - ",EjecucionHaciendaDiciembre[[#This Row],[NOMBRE_RECURSO]])</f>
        <v>A establecimientos públicos y unidades administrativas especiales - 1.3.3.2.00-RECURSOS DEL BALANCE DE CONSUMO DE CIGARRILLO</v>
      </c>
      <c r="AH331" s="1"/>
      <c r="AI331" s="1"/>
      <c r="AJ331" s="1"/>
      <c r="AK331" s="1"/>
      <c r="AL331" s="1"/>
      <c r="AM331" s="1"/>
    </row>
    <row r="332" spans="1:39" ht="43.2" x14ac:dyDescent="0.3">
      <c r="A332" s="3" t="s">
        <v>110</v>
      </c>
      <c r="B332" s="3" t="s">
        <v>209</v>
      </c>
      <c r="C332" s="2" t="s">
        <v>276</v>
      </c>
      <c r="D332" s="2" t="s">
        <v>352</v>
      </c>
      <c r="E332" s="2" t="s">
        <v>269</v>
      </c>
      <c r="F332" s="3" t="s">
        <v>395</v>
      </c>
      <c r="G332" s="2" t="s">
        <v>399</v>
      </c>
      <c r="H332" s="3"/>
      <c r="I332" s="4">
        <v>0</v>
      </c>
      <c r="J332" s="4">
        <v>64848000</v>
      </c>
      <c r="K332" s="4">
        <v>0</v>
      </c>
      <c r="L332" s="4">
        <v>0</v>
      </c>
      <c r="M332" s="4">
        <v>0</v>
      </c>
      <c r="N332" s="4">
        <v>64848000</v>
      </c>
      <c r="O332" s="4">
        <v>64848000</v>
      </c>
      <c r="P332" s="4">
        <v>64848000</v>
      </c>
      <c r="Q332" s="4">
        <v>64848000</v>
      </c>
      <c r="R332" s="4">
        <v>64848000</v>
      </c>
      <c r="S332" s="4">
        <v>64848000</v>
      </c>
      <c r="T332" s="4">
        <v>0</v>
      </c>
      <c r="U332" s="23"/>
      <c r="V332" s="24">
        <v>4301</v>
      </c>
      <c r="W332" s="17" t="s">
        <v>808</v>
      </c>
      <c r="X332" s="17" t="s">
        <v>716</v>
      </c>
      <c r="Y332" s="15"/>
      <c r="Z332" s="17"/>
      <c r="AA332" s="17" t="s">
        <v>716</v>
      </c>
      <c r="AB332" s="81"/>
      <c r="AC332" s="16" t="s">
        <v>716</v>
      </c>
      <c r="AD332" s="16" t="s">
        <v>849</v>
      </c>
      <c r="AE332" s="16" t="s">
        <v>855</v>
      </c>
      <c r="AF332" s="16" t="str">
        <f>_xlfn.CONCAT(EjecucionHaciendaDiciembre[[#This Row],[NOMBRE_RUBRO]]," - ",EjecucionHaciendaDiciembre[[#This Row],[NOMBRE_RECURSO]])</f>
        <v>A establecimientos públicos y unidades administrativas especiales - 1.3.3.2.00-RECURSOS DEL BALANCE DE LICOR EXTRANJERO</v>
      </c>
      <c r="AH332" s="1"/>
      <c r="AI332" s="1"/>
      <c r="AJ332" s="1"/>
      <c r="AK332" s="1"/>
      <c r="AL332" s="1"/>
      <c r="AM332" s="1"/>
    </row>
    <row r="333" spans="1:39" ht="43.2" x14ac:dyDescent="0.3">
      <c r="A333" s="3" t="s">
        <v>110</v>
      </c>
      <c r="B333" s="3" t="s">
        <v>209</v>
      </c>
      <c r="C333" s="2" t="s">
        <v>277</v>
      </c>
      <c r="D333" s="2" t="s">
        <v>353</v>
      </c>
      <c r="E333" s="2" t="s">
        <v>269</v>
      </c>
      <c r="F333" s="3" t="s">
        <v>395</v>
      </c>
      <c r="G333" s="2" t="s">
        <v>399</v>
      </c>
      <c r="H333" s="3"/>
      <c r="I333" s="4">
        <v>0</v>
      </c>
      <c r="J333" s="4">
        <v>323737350</v>
      </c>
      <c r="K333" s="4">
        <v>0</v>
      </c>
      <c r="L333" s="4">
        <v>0</v>
      </c>
      <c r="M333" s="4">
        <v>0</v>
      </c>
      <c r="N333" s="4">
        <v>323737350</v>
      </c>
      <c r="O333" s="4">
        <v>323737350</v>
      </c>
      <c r="P333" s="4">
        <v>323737350</v>
      </c>
      <c r="Q333" s="4">
        <v>323737350</v>
      </c>
      <c r="R333" s="4">
        <v>323737350</v>
      </c>
      <c r="S333" s="4">
        <v>323737350</v>
      </c>
      <c r="T333" s="4">
        <v>0</v>
      </c>
      <c r="U333" s="23"/>
      <c r="V333" s="24">
        <v>4301</v>
      </c>
      <c r="W333" s="17" t="s">
        <v>808</v>
      </c>
      <c r="X333" s="17" t="s">
        <v>716</v>
      </c>
      <c r="Y333" s="15"/>
      <c r="Z333" s="17"/>
      <c r="AA333" s="17" t="s">
        <v>716</v>
      </c>
      <c r="AB333" s="81"/>
      <c r="AC333" s="16" t="s">
        <v>716</v>
      </c>
      <c r="AD333" s="16" t="s">
        <v>848</v>
      </c>
      <c r="AE333" s="16" t="s">
        <v>855</v>
      </c>
      <c r="AF333" s="16" t="str">
        <f>_xlfn.CONCAT(EjecucionHaciendaDiciembre[[#This Row],[NOMBRE_RUBRO]]," - ",EjecucionHaciendaDiciembre[[#This Row],[NOMBRE_RECURSO]])</f>
        <v>A establecimientos públicos y unidades administrativas especiales - 1.3.3.2.00-RECURSOS DEL BALANCE DE LICOR NACIONAL</v>
      </c>
      <c r="AH333" s="1"/>
      <c r="AI333" s="1"/>
      <c r="AJ333" s="1"/>
      <c r="AK333" s="1"/>
      <c r="AL333" s="1"/>
      <c r="AM333" s="1"/>
    </row>
    <row r="334" spans="1:39" ht="43.2" x14ac:dyDescent="0.3">
      <c r="A334" s="3" t="s">
        <v>110</v>
      </c>
      <c r="B334" s="3" t="s">
        <v>209</v>
      </c>
      <c r="C334" s="2" t="s">
        <v>278</v>
      </c>
      <c r="D334" s="2" t="s">
        <v>354</v>
      </c>
      <c r="E334" s="2" t="s">
        <v>269</v>
      </c>
      <c r="F334" s="3" t="s">
        <v>395</v>
      </c>
      <c r="G334" s="2" t="s">
        <v>399</v>
      </c>
      <c r="H334" s="3"/>
      <c r="I334" s="4">
        <v>0</v>
      </c>
      <c r="J334" s="4">
        <v>280869</v>
      </c>
      <c r="K334" s="4">
        <v>0</v>
      </c>
      <c r="L334" s="4">
        <v>0</v>
      </c>
      <c r="M334" s="4">
        <v>0</v>
      </c>
      <c r="N334" s="4">
        <v>280869</v>
      </c>
      <c r="O334" s="4">
        <v>280869</v>
      </c>
      <c r="P334" s="4">
        <v>280869</v>
      </c>
      <c r="Q334" s="4">
        <v>280869</v>
      </c>
      <c r="R334" s="4">
        <v>280869</v>
      </c>
      <c r="S334" s="4">
        <v>280869</v>
      </c>
      <c r="T334" s="4">
        <v>0</v>
      </c>
      <c r="U334" s="23"/>
      <c r="V334" s="24">
        <v>4301</v>
      </c>
      <c r="W334" s="17" t="s">
        <v>808</v>
      </c>
      <c r="X334" s="17" t="s">
        <v>716</v>
      </c>
      <c r="Y334" s="15"/>
      <c r="Z334" s="17"/>
      <c r="AA334" s="17" t="s">
        <v>716</v>
      </c>
      <c r="AB334" s="81"/>
      <c r="AC334" s="16" t="s">
        <v>716</v>
      </c>
      <c r="AD334" s="16" t="s">
        <v>848</v>
      </c>
      <c r="AE334" s="16" t="s">
        <v>855</v>
      </c>
      <c r="AF334" s="16" t="str">
        <f>_xlfn.CONCAT(EjecucionHaciendaDiciembre[[#This Row],[NOMBRE_RUBRO]]," - ",EjecucionHaciendaDiciembre[[#This Row],[NOMBRE_RECURSO]])</f>
        <v>A establecimientos públicos y unidades administrativas especiales - 1.3.2.1.22-R.F. DE OTRAS TASA PRO-DEPORTE</v>
      </c>
      <c r="AH334" s="1"/>
      <c r="AI334" s="1"/>
      <c r="AJ334" s="1"/>
      <c r="AK334" s="1"/>
      <c r="AL334" s="1"/>
      <c r="AM334" s="1"/>
    </row>
    <row r="335" spans="1:39" ht="43.2" x14ac:dyDescent="0.3">
      <c r="A335" s="48" t="s">
        <v>110</v>
      </c>
      <c r="B335" s="48" t="s">
        <v>209</v>
      </c>
      <c r="C335" s="49" t="s">
        <v>279</v>
      </c>
      <c r="D335" s="49" t="s">
        <v>355</v>
      </c>
      <c r="E335" s="49" t="s">
        <v>224</v>
      </c>
      <c r="F335" s="48" t="s">
        <v>378</v>
      </c>
      <c r="G335" s="49" t="s">
        <v>399</v>
      </c>
      <c r="H335" s="48" t="s">
        <v>539</v>
      </c>
      <c r="I335" s="50">
        <v>0</v>
      </c>
      <c r="J335" s="50">
        <v>474332580</v>
      </c>
      <c r="K335" s="50">
        <v>0</v>
      </c>
      <c r="L335" s="50">
        <v>0</v>
      </c>
      <c r="M335" s="50">
        <v>0</v>
      </c>
      <c r="N335" s="50">
        <v>474332580</v>
      </c>
      <c r="O335" s="50">
        <v>474332580</v>
      </c>
      <c r="P335" s="50">
        <v>474332580</v>
      </c>
      <c r="Q335" s="50">
        <v>474332580</v>
      </c>
      <c r="R335" s="50">
        <v>474332580</v>
      </c>
      <c r="S335" s="50">
        <v>474332580</v>
      </c>
      <c r="T335" s="50">
        <v>0</v>
      </c>
      <c r="U335" s="51" t="s">
        <v>776</v>
      </c>
      <c r="V335" s="52">
        <v>190603500</v>
      </c>
      <c r="W335" s="17"/>
      <c r="X335" s="17" t="s">
        <v>716</v>
      </c>
      <c r="Y335" s="15"/>
      <c r="Z335" s="17"/>
      <c r="AA335" s="17" t="s">
        <v>716</v>
      </c>
      <c r="AB335" s="81"/>
      <c r="AC335" s="16" t="s">
        <v>716</v>
      </c>
      <c r="AD335" s="16" t="s">
        <v>848</v>
      </c>
      <c r="AE335" s="16" t="s">
        <v>855</v>
      </c>
      <c r="AF335" s="16" t="str">
        <f>_xlfn.CONCAT(EjecucionHaciendaDiciembre[[#This Row],[NOMBRE_RUBRO]]," - ",EjecucionHaciendaDiciembre[[#This Row],[NOMBRE_RECURSO]])</f>
        <v>A establecimientos públicos y unidades administrativas especiales - 1.3.2.3.11-R.F. ESTAMPILLA PRO HOSPITAL</v>
      </c>
      <c r="AH335" s="1"/>
      <c r="AI335" s="1"/>
      <c r="AJ335" s="1"/>
      <c r="AK335" s="1"/>
      <c r="AL335" s="1"/>
      <c r="AM335" s="1"/>
    </row>
    <row r="336" spans="1:39" ht="43.2" x14ac:dyDescent="0.3">
      <c r="A336" s="3" t="s">
        <v>110</v>
      </c>
      <c r="B336" s="3" t="s">
        <v>209</v>
      </c>
      <c r="C336" s="2" t="s">
        <v>280</v>
      </c>
      <c r="D336" s="2" t="s">
        <v>356</v>
      </c>
      <c r="E336" s="2" t="s">
        <v>263</v>
      </c>
      <c r="F336" s="3" t="s">
        <v>394</v>
      </c>
      <c r="G336" s="2" t="s">
        <v>399</v>
      </c>
      <c r="H336" s="3"/>
      <c r="I336" s="4">
        <v>4062106894</v>
      </c>
      <c r="J336" s="4">
        <v>0</v>
      </c>
      <c r="K336" s="4">
        <v>0</v>
      </c>
      <c r="L336" s="4">
        <v>0</v>
      </c>
      <c r="M336" s="4">
        <v>0</v>
      </c>
      <c r="N336" s="4">
        <v>4062106894</v>
      </c>
      <c r="O336" s="4">
        <v>3407652004.0700002</v>
      </c>
      <c r="P336" s="4">
        <v>3407652004.0700002</v>
      </c>
      <c r="Q336" s="4">
        <v>3407652004.0700002</v>
      </c>
      <c r="R336" s="4">
        <v>3407652004.0700002</v>
      </c>
      <c r="S336" s="4">
        <v>3407652004.0700002</v>
      </c>
      <c r="T336" s="4">
        <v>654454889.92999995</v>
      </c>
      <c r="U336" s="23"/>
      <c r="V336" s="24">
        <v>3301</v>
      </c>
      <c r="W336" s="17" t="s">
        <v>808</v>
      </c>
      <c r="X336" s="17" t="s">
        <v>716</v>
      </c>
      <c r="Y336" s="15"/>
      <c r="Z336" s="17"/>
      <c r="AA336" s="17" t="s">
        <v>716</v>
      </c>
      <c r="AB336" s="81"/>
      <c r="AC336" s="16" t="s">
        <v>716</v>
      </c>
      <c r="AD336" s="16" t="s">
        <v>848</v>
      </c>
      <c r="AE336" s="16" t="s">
        <v>855</v>
      </c>
      <c r="AF336" s="16" t="str">
        <f>_xlfn.CONCAT(EjecucionHaciendaDiciembre[[#This Row],[NOMBRE_RUBRO]]," - ",EjecucionHaciendaDiciembre[[#This Row],[NOMBRE_RECURSO]])</f>
        <v>A establecimientos públicos y unidades administrativas especiales - 1.3.2.3.11- ESTAMPILLA PRO CULTURA</v>
      </c>
      <c r="AH336" s="1"/>
      <c r="AI336" s="1"/>
      <c r="AJ336" s="1"/>
      <c r="AK336" s="1"/>
      <c r="AL336" s="1"/>
      <c r="AM336" s="1"/>
    </row>
    <row r="337" spans="1:39" ht="43.2" x14ac:dyDescent="0.3">
      <c r="A337" s="48" t="s">
        <v>110</v>
      </c>
      <c r="B337" s="48" t="s">
        <v>209</v>
      </c>
      <c r="C337" s="49" t="s">
        <v>281</v>
      </c>
      <c r="D337" s="49" t="s">
        <v>357</v>
      </c>
      <c r="E337" s="49" t="s">
        <v>368</v>
      </c>
      <c r="F337" s="48" t="s">
        <v>380</v>
      </c>
      <c r="G337" s="49" t="s">
        <v>399</v>
      </c>
      <c r="H337" s="48" t="s">
        <v>539</v>
      </c>
      <c r="I337" s="50">
        <v>0</v>
      </c>
      <c r="J337" s="50">
        <v>481066139</v>
      </c>
      <c r="K337" s="50">
        <v>0</v>
      </c>
      <c r="L337" s="50">
        <v>0</v>
      </c>
      <c r="M337" s="50">
        <v>0</v>
      </c>
      <c r="N337" s="50">
        <v>481066139</v>
      </c>
      <c r="O337" s="50">
        <v>481066139</v>
      </c>
      <c r="P337" s="50">
        <v>481066139</v>
      </c>
      <c r="Q337" s="50">
        <v>481066139</v>
      </c>
      <c r="R337" s="50">
        <v>481066139</v>
      </c>
      <c r="S337" s="50">
        <v>481066139</v>
      </c>
      <c r="T337" s="50">
        <v>0</v>
      </c>
      <c r="U337" s="51"/>
      <c r="V337" s="52">
        <v>2201</v>
      </c>
      <c r="W337" s="17" t="s">
        <v>710</v>
      </c>
      <c r="X337" s="17" t="s">
        <v>716</v>
      </c>
      <c r="Y337" s="15"/>
      <c r="Z337" s="17"/>
      <c r="AA337" s="17" t="s">
        <v>716</v>
      </c>
      <c r="AB337" s="81"/>
      <c r="AC337" s="16" t="s">
        <v>716</v>
      </c>
      <c r="AD337" s="16" t="s">
        <v>848</v>
      </c>
      <c r="AE337" s="16" t="s">
        <v>855</v>
      </c>
      <c r="AF337" s="16" t="str">
        <f>_xlfn.CONCAT(EjecucionHaciendaDiciembre[[#This Row],[NOMBRE_RUBRO]]," - ",EjecucionHaciendaDiciembre[[#This Row],[NOMBRE_RECURSO]])</f>
        <v>A establecimientos públicos y unidades administrativas especiales - 1.3.2.3.11-R.F. ESTAMPILLA UNIVERSIDAD DE SUCRE</v>
      </c>
      <c r="AH337" s="1"/>
      <c r="AI337" s="1"/>
      <c r="AJ337" s="1"/>
      <c r="AK337" s="1"/>
      <c r="AL337" s="1"/>
      <c r="AM337" s="1"/>
    </row>
    <row r="338" spans="1:39" ht="43.2" x14ac:dyDescent="0.3">
      <c r="A338" s="64" t="s">
        <v>110</v>
      </c>
      <c r="B338" s="64" t="s">
        <v>209</v>
      </c>
      <c r="C338" s="65" t="s">
        <v>216</v>
      </c>
      <c r="D338" s="65" t="s">
        <v>292</v>
      </c>
      <c r="E338" s="65" t="s">
        <v>249</v>
      </c>
      <c r="F338" s="64" t="s">
        <v>398</v>
      </c>
      <c r="G338" s="65" t="s">
        <v>399</v>
      </c>
      <c r="H338" s="64"/>
      <c r="I338" s="66">
        <v>349014044</v>
      </c>
      <c r="J338" s="66">
        <v>0</v>
      </c>
      <c r="K338" s="66">
        <v>0</v>
      </c>
      <c r="L338" s="66">
        <v>0</v>
      </c>
      <c r="M338" s="66">
        <v>0</v>
      </c>
      <c r="N338" s="66">
        <v>349014044</v>
      </c>
      <c r="O338" s="66">
        <v>0</v>
      </c>
      <c r="P338" s="66">
        <v>0</v>
      </c>
      <c r="Q338" s="66">
        <v>0</v>
      </c>
      <c r="R338" s="66">
        <v>0</v>
      </c>
      <c r="S338" s="66">
        <v>0</v>
      </c>
      <c r="T338" s="66">
        <v>349014044</v>
      </c>
      <c r="U338" s="67"/>
      <c r="V338" s="90"/>
      <c r="W338" s="17"/>
      <c r="X338" s="17" t="s">
        <v>716</v>
      </c>
      <c r="Y338" s="15"/>
      <c r="Z338" s="17"/>
      <c r="AA338" s="17" t="s">
        <v>716</v>
      </c>
      <c r="AB338" s="81"/>
      <c r="AC338" s="16" t="s">
        <v>716</v>
      </c>
      <c r="AD338" s="16" t="s">
        <v>848</v>
      </c>
      <c r="AE338" s="16" t="s">
        <v>855</v>
      </c>
      <c r="AF338" s="16" t="str">
        <f>_xlfn.CONCAT(EjecucionHaciendaDiciembre[[#This Row],[NOMBRE_RUBRO]]," - ",EjecucionHaciendaDiciembre[[#This Row],[NOMBRE_RECURSO]])</f>
        <v>A establecimientos públicos y unidades administrativas especiales - 1.2.2.0.00- RENTAS CEDIDAS</v>
      </c>
      <c r="AH338" s="1"/>
      <c r="AI338" s="1"/>
      <c r="AJ338" s="1"/>
      <c r="AK338" s="1"/>
      <c r="AL338" s="1"/>
      <c r="AM338" s="1"/>
    </row>
    <row r="339" spans="1:39" ht="43.2" x14ac:dyDescent="0.3">
      <c r="A339" s="3" t="s">
        <v>110</v>
      </c>
      <c r="B339" s="3" t="s">
        <v>209</v>
      </c>
      <c r="C339" s="2" t="s">
        <v>282</v>
      </c>
      <c r="D339" s="2" t="s">
        <v>358</v>
      </c>
      <c r="E339" s="2" t="s">
        <v>269</v>
      </c>
      <c r="F339" s="3" t="s">
        <v>395</v>
      </c>
      <c r="G339" s="2" t="s">
        <v>399</v>
      </c>
      <c r="H339" s="3"/>
      <c r="I339" s="4">
        <v>865823991</v>
      </c>
      <c r="J339" s="4">
        <v>0</v>
      </c>
      <c r="K339" s="4">
        <v>0</v>
      </c>
      <c r="L339" s="4">
        <v>0</v>
      </c>
      <c r="M339" s="4">
        <v>0</v>
      </c>
      <c r="N339" s="4">
        <v>865823991</v>
      </c>
      <c r="O339" s="4">
        <v>690419851.62</v>
      </c>
      <c r="P339" s="4">
        <v>690419851.62</v>
      </c>
      <c r="Q339" s="4">
        <v>690419851.62</v>
      </c>
      <c r="R339" s="4">
        <v>690419851.62</v>
      </c>
      <c r="S339" s="4">
        <v>690419851.62</v>
      </c>
      <c r="T339" s="4">
        <v>175404139.38</v>
      </c>
      <c r="U339" s="23"/>
      <c r="V339" s="24">
        <v>4301</v>
      </c>
      <c r="W339" s="17" t="s">
        <v>808</v>
      </c>
      <c r="X339" s="17" t="s">
        <v>716</v>
      </c>
      <c r="Y339" s="15"/>
      <c r="Z339" s="17"/>
      <c r="AA339" s="17" t="s">
        <v>716</v>
      </c>
      <c r="AB339" s="81"/>
      <c r="AC339" s="16" t="s">
        <v>716</v>
      </c>
      <c r="AD339" s="16" t="s">
        <v>848</v>
      </c>
      <c r="AE339" s="16" t="s">
        <v>855</v>
      </c>
      <c r="AF339" s="16" t="str">
        <f>_xlfn.CONCAT(EjecucionHaciendaDiciembre[[#This Row],[NOMBRE_RUBRO]]," - ",EjecucionHaciendaDiciembre[[#This Row],[NOMBRE_RECURSO]])</f>
        <v>A establecimientos públicos y unidades administrativas especiales - 1.2.3.1.19 - ESTAMPILLAS PRO DESARROLLO INFR DEPORTIVA</v>
      </c>
      <c r="AH339" s="1"/>
      <c r="AI339" s="1"/>
      <c r="AJ339" s="1"/>
      <c r="AK339" s="1"/>
      <c r="AL339" s="1"/>
      <c r="AM339" s="1"/>
    </row>
    <row r="340" spans="1:39" ht="43.2" x14ac:dyDescent="0.3">
      <c r="A340" s="3" t="s">
        <v>110</v>
      </c>
      <c r="B340" s="3" t="s">
        <v>209</v>
      </c>
      <c r="C340" s="2" t="s">
        <v>283</v>
      </c>
      <c r="D340" s="2" t="s">
        <v>359</v>
      </c>
      <c r="E340" s="2" t="s">
        <v>263</v>
      </c>
      <c r="F340" s="3" t="s">
        <v>394</v>
      </c>
      <c r="G340" s="2" t="s">
        <v>399</v>
      </c>
      <c r="H340" s="3"/>
      <c r="I340" s="4">
        <v>0</v>
      </c>
      <c r="J340" s="4">
        <v>481960571</v>
      </c>
      <c r="K340" s="4">
        <v>0</v>
      </c>
      <c r="L340" s="4">
        <v>0</v>
      </c>
      <c r="M340" s="4">
        <v>0</v>
      </c>
      <c r="N340" s="4">
        <v>481960571</v>
      </c>
      <c r="O340" s="4">
        <v>481960571</v>
      </c>
      <c r="P340" s="4">
        <v>481960571</v>
      </c>
      <c r="Q340" s="4">
        <v>481960571</v>
      </c>
      <c r="R340" s="4">
        <v>481960571</v>
      </c>
      <c r="S340" s="4">
        <v>481960571</v>
      </c>
      <c r="T340" s="4">
        <v>0</v>
      </c>
      <c r="U340" s="23"/>
      <c r="V340" s="24">
        <v>3301</v>
      </c>
      <c r="W340" s="17" t="s">
        <v>808</v>
      </c>
      <c r="X340" s="17" t="s">
        <v>716</v>
      </c>
      <c r="Y340" s="15"/>
      <c r="Z340" s="17"/>
      <c r="AA340" s="17" t="s">
        <v>716</v>
      </c>
      <c r="AB340" s="81"/>
      <c r="AC340" s="16" t="s">
        <v>716</v>
      </c>
      <c r="AD340" s="16" t="s">
        <v>848</v>
      </c>
      <c r="AE340" s="16" t="s">
        <v>855</v>
      </c>
      <c r="AF340" s="16" t="str">
        <f>_xlfn.CONCAT(EjecucionHaciendaDiciembre[[#This Row],[NOMBRE_RUBRO]]," - ",EjecucionHaciendaDiciembre[[#This Row],[NOMBRE_RECURSO]])</f>
        <v>A establecimientos públicos y unidades administrativas especiales - 1.2.3.1.19 - R.F.ESTAMPILLAS ESTAMPILLA PRO CULTURA</v>
      </c>
      <c r="AH340" s="1"/>
      <c r="AI340" s="1"/>
      <c r="AJ340" s="1"/>
      <c r="AK340" s="1"/>
      <c r="AL340" s="1"/>
      <c r="AM340" s="1"/>
    </row>
    <row r="341" spans="1:39" ht="43.2" x14ac:dyDescent="0.3">
      <c r="A341" s="3" t="s">
        <v>110</v>
      </c>
      <c r="B341" s="3" t="s">
        <v>209</v>
      </c>
      <c r="C341" s="2" t="s">
        <v>284</v>
      </c>
      <c r="D341" s="2" t="s">
        <v>360</v>
      </c>
      <c r="E341" s="2" t="s">
        <v>269</v>
      </c>
      <c r="F341" s="3" t="s">
        <v>395</v>
      </c>
      <c r="G341" s="2" t="s">
        <v>399</v>
      </c>
      <c r="H341" s="3"/>
      <c r="I341" s="4">
        <v>0</v>
      </c>
      <c r="J341" s="4">
        <v>69215835</v>
      </c>
      <c r="K341" s="4">
        <v>0</v>
      </c>
      <c r="L341" s="4">
        <v>0</v>
      </c>
      <c r="M341" s="4">
        <v>0</v>
      </c>
      <c r="N341" s="4">
        <v>69215835</v>
      </c>
      <c r="O341" s="4">
        <v>69215835</v>
      </c>
      <c r="P341" s="4">
        <v>69215835</v>
      </c>
      <c r="Q341" s="4">
        <v>69215835</v>
      </c>
      <c r="R341" s="4">
        <v>69215835</v>
      </c>
      <c r="S341" s="4">
        <v>69215835</v>
      </c>
      <c r="T341" s="4">
        <v>0</v>
      </c>
      <c r="U341" s="23"/>
      <c r="V341" s="24">
        <v>4301</v>
      </c>
      <c r="W341" s="17" t="s">
        <v>808</v>
      </c>
      <c r="X341" s="17" t="s">
        <v>716</v>
      </c>
      <c r="Y341" s="15"/>
      <c r="Z341" s="17"/>
      <c r="AA341" s="17" t="s">
        <v>716</v>
      </c>
      <c r="AB341" s="81"/>
      <c r="AC341" s="16" t="s">
        <v>716</v>
      </c>
      <c r="AD341" s="16" t="s">
        <v>848</v>
      </c>
      <c r="AE341" s="16" t="s">
        <v>855</v>
      </c>
      <c r="AF341" s="16" t="str">
        <f>_xlfn.CONCAT(EjecucionHaciendaDiciembre[[#This Row],[NOMBRE_RUBRO]]," - ",EjecucionHaciendaDiciembre[[#This Row],[NOMBRE_RECURSO]])</f>
        <v>A establecimientos públicos y unidades administrativas especiales - 1.3.3.3.20-R.B. ESTAMPILLA PRO DESARROLLO DEPORTE</v>
      </c>
      <c r="AH341" s="1"/>
      <c r="AI341" s="1"/>
      <c r="AJ341" s="1"/>
      <c r="AK341" s="1"/>
      <c r="AL341" s="1"/>
      <c r="AM341" s="1"/>
    </row>
    <row r="342" spans="1:39" ht="43.2" x14ac:dyDescent="0.3">
      <c r="A342" s="3" t="s">
        <v>110</v>
      </c>
      <c r="B342" s="3" t="s">
        <v>209</v>
      </c>
      <c r="C342" s="2" t="s">
        <v>285</v>
      </c>
      <c r="D342" s="2" t="s">
        <v>361</v>
      </c>
      <c r="E342" s="2" t="s">
        <v>269</v>
      </c>
      <c r="F342" s="3" t="s">
        <v>395</v>
      </c>
      <c r="G342" s="2" t="s">
        <v>399</v>
      </c>
      <c r="H342" s="3"/>
      <c r="I342" s="4">
        <v>0</v>
      </c>
      <c r="J342" s="4">
        <v>79779356</v>
      </c>
      <c r="K342" s="4">
        <v>0</v>
      </c>
      <c r="L342" s="4">
        <v>0</v>
      </c>
      <c r="M342" s="4">
        <v>0</v>
      </c>
      <c r="N342" s="4">
        <v>79779356</v>
      </c>
      <c r="O342" s="4">
        <v>79779356</v>
      </c>
      <c r="P342" s="4">
        <v>79779356</v>
      </c>
      <c r="Q342" s="4">
        <v>79779356</v>
      </c>
      <c r="R342" s="4">
        <v>79779356</v>
      </c>
      <c r="S342" s="4">
        <v>79779356</v>
      </c>
      <c r="T342" s="4">
        <v>0</v>
      </c>
      <c r="U342" s="23"/>
      <c r="V342" s="24">
        <v>4301</v>
      </c>
      <c r="W342" s="17" t="s">
        <v>808</v>
      </c>
      <c r="X342" s="17" t="s">
        <v>716</v>
      </c>
      <c r="Y342" s="15"/>
      <c r="Z342" s="17"/>
      <c r="AA342" s="17" t="s">
        <v>716</v>
      </c>
      <c r="AB342" s="81"/>
      <c r="AC342" s="16" t="s">
        <v>716</v>
      </c>
      <c r="AD342" s="16" t="s">
        <v>848</v>
      </c>
      <c r="AE342" s="16" t="s">
        <v>855</v>
      </c>
      <c r="AF342" s="16" t="str">
        <f>_xlfn.CONCAT(EjecucionHaciendaDiciembre[[#This Row],[NOMBRE_RUBRO]]," - ",EjecucionHaciendaDiciembre[[#This Row],[NOMBRE_RECURSO]])</f>
        <v>A establecimientos públicos y unidades administrativas especiales - 1.3.2.3.11-R.F. ESTAMPILLA PRO DESARROLLO DEPORTE</v>
      </c>
      <c r="AH342" s="1"/>
      <c r="AI342" s="1"/>
      <c r="AJ342" s="1"/>
      <c r="AK342" s="1"/>
      <c r="AL342" s="1"/>
      <c r="AM342" s="1"/>
    </row>
    <row r="343" spans="1:39" ht="43.2" x14ac:dyDescent="0.3">
      <c r="A343" s="48" t="s">
        <v>110</v>
      </c>
      <c r="B343" s="48" t="s">
        <v>209</v>
      </c>
      <c r="C343" s="49" t="s">
        <v>286</v>
      </c>
      <c r="D343" s="49" t="s">
        <v>362</v>
      </c>
      <c r="E343" s="49" t="s">
        <v>224</v>
      </c>
      <c r="F343" s="48" t="s">
        <v>378</v>
      </c>
      <c r="G343" s="49" t="s">
        <v>399</v>
      </c>
      <c r="H343" s="48" t="s">
        <v>539</v>
      </c>
      <c r="I343" s="50">
        <v>0</v>
      </c>
      <c r="J343" s="50">
        <v>2120975795</v>
      </c>
      <c r="K343" s="50">
        <v>0</v>
      </c>
      <c r="L343" s="50">
        <v>0</v>
      </c>
      <c r="M343" s="50">
        <v>0</v>
      </c>
      <c r="N343" s="50">
        <v>2120975795</v>
      </c>
      <c r="O343" s="50">
        <v>2120975795</v>
      </c>
      <c r="P343" s="50">
        <v>2120975795</v>
      </c>
      <c r="Q343" s="50">
        <v>2120975795</v>
      </c>
      <c r="R343" s="50">
        <v>2120975795</v>
      </c>
      <c r="S343" s="50">
        <v>2120975795</v>
      </c>
      <c r="T343" s="50">
        <v>0</v>
      </c>
      <c r="U343" s="51" t="s">
        <v>776</v>
      </c>
      <c r="V343" s="52">
        <v>190603500</v>
      </c>
      <c r="W343" s="17"/>
      <c r="X343" s="17" t="s">
        <v>716</v>
      </c>
      <c r="Y343" s="15"/>
      <c r="Z343" s="17"/>
      <c r="AA343" s="17" t="s">
        <v>716</v>
      </c>
      <c r="AB343" s="81"/>
      <c r="AC343" s="16" t="s">
        <v>716</v>
      </c>
      <c r="AD343" s="16" t="s">
        <v>848</v>
      </c>
      <c r="AE343" s="16" t="s">
        <v>855</v>
      </c>
      <c r="AF343" s="16" t="str">
        <f>_xlfn.CONCAT(EjecucionHaciendaDiciembre[[#This Row],[NOMBRE_RUBRO]]," - ",EjecucionHaciendaDiciembre[[#This Row],[NOMBRE_RECURSO]])</f>
        <v>A establecimientos públicos y unidades administrativas especiales - 1.3.3.3.20-R.B. ESTAMPILLA PRO- HOSPITAL</v>
      </c>
      <c r="AH343" s="1"/>
      <c r="AI343" s="1"/>
      <c r="AJ343" s="1"/>
      <c r="AK343" s="1"/>
      <c r="AL343" s="1"/>
      <c r="AM343" s="1"/>
    </row>
    <row r="344" spans="1:39" ht="43.2" x14ac:dyDescent="0.3">
      <c r="A344" s="3" t="s">
        <v>110</v>
      </c>
      <c r="B344" s="3" t="s">
        <v>209</v>
      </c>
      <c r="C344" s="2" t="s">
        <v>287</v>
      </c>
      <c r="D344" s="2" t="s">
        <v>363</v>
      </c>
      <c r="E344" s="2" t="s">
        <v>263</v>
      </c>
      <c r="F344" s="3" t="s">
        <v>394</v>
      </c>
      <c r="G344" s="2" t="s">
        <v>399</v>
      </c>
      <c r="H344" s="3"/>
      <c r="I344" s="4">
        <v>0</v>
      </c>
      <c r="J344" s="4">
        <v>601263456</v>
      </c>
      <c r="K344" s="4">
        <v>0</v>
      </c>
      <c r="L344" s="4">
        <v>0</v>
      </c>
      <c r="M344" s="4">
        <v>0</v>
      </c>
      <c r="N344" s="4">
        <v>601263456</v>
      </c>
      <c r="O344" s="4">
        <v>601263456</v>
      </c>
      <c r="P344" s="4">
        <v>601263456</v>
      </c>
      <c r="Q344" s="4">
        <v>601263456</v>
      </c>
      <c r="R344" s="4">
        <v>601263456</v>
      </c>
      <c r="S344" s="4">
        <v>601263456</v>
      </c>
      <c r="T344" s="4">
        <v>0</v>
      </c>
      <c r="U344" s="23"/>
      <c r="V344" s="24">
        <v>3301</v>
      </c>
      <c r="W344" s="17" t="s">
        <v>808</v>
      </c>
      <c r="X344" s="17" t="s">
        <v>716</v>
      </c>
      <c r="Y344" s="15"/>
      <c r="Z344" s="17"/>
      <c r="AA344" s="17" t="s">
        <v>716</v>
      </c>
      <c r="AB344" s="81"/>
      <c r="AC344" s="16" t="s">
        <v>716</v>
      </c>
      <c r="AD344" s="16" t="s">
        <v>848</v>
      </c>
      <c r="AE344" s="16" t="s">
        <v>855</v>
      </c>
      <c r="AF344" s="16" t="str">
        <f>_xlfn.CONCAT(EjecucionHaciendaDiciembre[[#This Row],[NOMBRE_RUBRO]]," - ",EjecucionHaciendaDiciembre[[#This Row],[NOMBRE_RECURSO]])</f>
        <v>A establecimientos públicos y unidades administrativas especiales - 1.3.3.3.20-R.B. ESTAMPILLA PRO CULTURA</v>
      </c>
      <c r="AH344" s="1"/>
      <c r="AI344" s="1"/>
      <c r="AJ344" s="1"/>
      <c r="AK344" s="1"/>
      <c r="AL344" s="1"/>
      <c r="AM344" s="1"/>
    </row>
    <row r="345" spans="1:39" ht="43.2" x14ac:dyDescent="0.3">
      <c r="A345" s="3" t="s">
        <v>110</v>
      </c>
      <c r="B345" s="3" t="s">
        <v>209</v>
      </c>
      <c r="C345" s="2" t="s">
        <v>288</v>
      </c>
      <c r="D345" s="2" t="s">
        <v>364</v>
      </c>
      <c r="E345" s="2" t="s">
        <v>263</v>
      </c>
      <c r="F345" s="3" t="s">
        <v>394</v>
      </c>
      <c r="G345" s="2" t="s">
        <v>399</v>
      </c>
      <c r="H345" s="3"/>
      <c r="I345" s="4">
        <v>0</v>
      </c>
      <c r="J345" s="4">
        <v>760804386</v>
      </c>
      <c r="K345" s="4">
        <v>0</v>
      </c>
      <c r="L345" s="4">
        <v>0</v>
      </c>
      <c r="M345" s="4">
        <v>0</v>
      </c>
      <c r="N345" s="4">
        <v>760804386</v>
      </c>
      <c r="O345" s="4">
        <v>760804386</v>
      </c>
      <c r="P345" s="4">
        <v>760804386</v>
      </c>
      <c r="Q345" s="4">
        <v>760804386</v>
      </c>
      <c r="R345" s="4">
        <v>760804386</v>
      </c>
      <c r="S345" s="4">
        <v>760804386</v>
      </c>
      <c r="T345" s="4">
        <v>0</v>
      </c>
      <c r="U345" s="23"/>
      <c r="V345" s="24">
        <v>3301</v>
      </c>
      <c r="W345" s="17" t="s">
        <v>808</v>
      </c>
      <c r="X345" s="17" t="s">
        <v>716</v>
      </c>
      <c r="Y345" s="15"/>
      <c r="Z345" s="17"/>
      <c r="AA345" s="17" t="s">
        <v>716</v>
      </c>
      <c r="AB345" s="81"/>
      <c r="AC345" s="16" t="s">
        <v>716</v>
      </c>
      <c r="AD345" s="16" t="s">
        <v>848</v>
      </c>
      <c r="AE345" s="16" t="s">
        <v>855</v>
      </c>
      <c r="AF345" s="16" t="str">
        <f>_xlfn.CONCAT(EjecucionHaciendaDiciembre[[#This Row],[NOMBRE_RUBRO]]," - ",EjecucionHaciendaDiciembre[[#This Row],[NOMBRE_RECURSO]])</f>
        <v>A establecimientos públicos y unidades administrativas especiales - 1.3.3.3.20-R.B. ESTAMPILLA PRO CULTRA GESTORES CULTURALES</v>
      </c>
      <c r="AH345" s="1"/>
      <c r="AI345" s="1"/>
      <c r="AJ345" s="1"/>
      <c r="AK345" s="1"/>
      <c r="AL345" s="1"/>
      <c r="AM345" s="1"/>
    </row>
    <row r="346" spans="1:39" ht="43.2" x14ac:dyDescent="0.3">
      <c r="A346" s="48" t="s">
        <v>110</v>
      </c>
      <c r="B346" s="48" t="s">
        <v>209</v>
      </c>
      <c r="C346" s="49" t="s">
        <v>289</v>
      </c>
      <c r="D346" s="49" t="s">
        <v>365</v>
      </c>
      <c r="E346" s="49" t="s">
        <v>368</v>
      </c>
      <c r="F346" s="48" t="s">
        <v>380</v>
      </c>
      <c r="G346" s="49" t="s">
        <v>399</v>
      </c>
      <c r="H346" s="48" t="s">
        <v>539</v>
      </c>
      <c r="I346" s="50">
        <v>0</v>
      </c>
      <c r="J346" s="50">
        <v>7451265184</v>
      </c>
      <c r="K346" s="50">
        <v>0</v>
      </c>
      <c r="L346" s="50">
        <v>0</v>
      </c>
      <c r="M346" s="50">
        <v>0</v>
      </c>
      <c r="N346" s="50">
        <v>7451265184</v>
      </c>
      <c r="O346" s="50">
        <v>7451265184</v>
      </c>
      <c r="P346" s="50">
        <v>7451265184</v>
      </c>
      <c r="Q346" s="50">
        <v>7451265184</v>
      </c>
      <c r="R346" s="50">
        <v>7451265184</v>
      </c>
      <c r="S346" s="50">
        <v>7451265184</v>
      </c>
      <c r="T346" s="50">
        <v>0</v>
      </c>
      <c r="U346" s="51"/>
      <c r="V346" s="52">
        <v>2201</v>
      </c>
      <c r="W346" s="17" t="s">
        <v>710</v>
      </c>
      <c r="X346" s="17" t="s">
        <v>716</v>
      </c>
      <c r="Y346" s="15"/>
      <c r="Z346" s="17"/>
      <c r="AA346" s="17" t="s">
        <v>716</v>
      </c>
      <c r="AB346" s="81"/>
      <c r="AC346" s="16" t="s">
        <v>716</v>
      </c>
      <c r="AD346" s="16" t="s">
        <v>848</v>
      </c>
      <c r="AE346" s="16" t="s">
        <v>855</v>
      </c>
      <c r="AF346" s="16" t="str">
        <f>_xlfn.CONCAT(EjecucionHaciendaDiciembre[[#This Row],[NOMBRE_RUBRO]]," - ",EjecucionHaciendaDiciembre[[#This Row],[NOMBRE_RECURSO]])</f>
        <v>A establecimientos públicos y unidades administrativas especiales - 1.3.3.3.20-R.B. ESTAMPILLA PRO UNIVERSIDAD</v>
      </c>
      <c r="AH346" s="1"/>
      <c r="AI346" s="1"/>
      <c r="AJ346" s="1"/>
      <c r="AK346" s="1"/>
      <c r="AL346" s="1"/>
      <c r="AM346" s="1"/>
    </row>
    <row r="347" spans="1:39" ht="14.4" x14ac:dyDescent="0.3">
      <c r="A347" s="14" t="s">
        <v>111</v>
      </c>
      <c r="B347" s="14" t="s">
        <v>170</v>
      </c>
      <c r="C347" s="15"/>
      <c r="D347" s="15"/>
      <c r="E347" s="15"/>
      <c r="F347" s="14"/>
      <c r="G347" s="15"/>
      <c r="H347" s="14"/>
      <c r="I347" s="16">
        <v>450000000</v>
      </c>
      <c r="J347" s="16">
        <v>3067457726.9099998</v>
      </c>
      <c r="K347" s="16">
        <v>0</v>
      </c>
      <c r="L347" s="16">
        <v>999389767</v>
      </c>
      <c r="M347" s="16">
        <v>407411985.68000001</v>
      </c>
      <c r="N347" s="16">
        <v>4109435508.23</v>
      </c>
      <c r="O347" s="16">
        <v>2021875675.97</v>
      </c>
      <c r="P347" s="16">
        <v>2021875675.97</v>
      </c>
      <c r="Q347" s="16">
        <v>2021875675.97</v>
      </c>
      <c r="R347" s="16">
        <v>2021875675.97</v>
      </c>
      <c r="S347" s="16">
        <v>2021875675.97</v>
      </c>
      <c r="T347" s="16">
        <v>2087559832.26</v>
      </c>
      <c r="U347" s="17"/>
      <c r="V347" s="86"/>
      <c r="W347" s="17"/>
      <c r="X347" s="17" t="s">
        <v>716</v>
      </c>
      <c r="Y347" s="15"/>
      <c r="Z347" s="17"/>
      <c r="AA347" s="17" t="s">
        <v>716</v>
      </c>
      <c r="AB347" s="81"/>
      <c r="AC347" s="16" t="s">
        <v>716</v>
      </c>
      <c r="AD347" s="16" t="s">
        <v>716</v>
      </c>
      <c r="AE347" s="16" t="s">
        <v>716</v>
      </c>
      <c r="AF347" s="16" t="str">
        <f>_xlfn.CONCAT(EjecucionHaciendaDiciembre[[#This Row],[NOMBRE_RUBRO]]," - ",EjecucionHaciendaDiciembre[[#This Row],[NOMBRE_RECURSO]])</f>
        <v xml:space="preserve">Transferencias de capital - </v>
      </c>
      <c r="AH347" s="1"/>
      <c r="AI347" s="1"/>
      <c r="AJ347" s="1"/>
      <c r="AK347" s="1"/>
      <c r="AL347" s="1"/>
      <c r="AM347" s="1"/>
    </row>
    <row r="348" spans="1:39" ht="43.2" x14ac:dyDescent="0.3">
      <c r="A348" s="32" t="s">
        <v>112</v>
      </c>
      <c r="B348" s="32" t="s">
        <v>210</v>
      </c>
      <c r="C348" s="33" t="s">
        <v>215</v>
      </c>
      <c r="D348" s="33" t="s">
        <v>291</v>
      </c>
      <c r="E348" s="33" t="s">
        <v>369</v>
      </c>
      <c r="F348" s="32" t="s">
        <v>382</v>
      </c>
      <c r="G348" s="33" t="s">
        <v>399</v>
      </c>
      <c r="H348" s="32"/>
      <c r="I348" s="34">
        <v>450000000</v>
      </c>
      <c r="J348" s="34">
        <v>0</v>
      </c>
      <c r="K348" s="34">
        <v>0</v>
      </c>
      <c r="L348" s="34">
        <v>0</v>
      </c>
      <c r="M348" s="34">
        <v>407411985.68000001</v>
      </c>
      <c r="N348" s="34">
        <v>42588014.32</v>
      </c>
      <c r="O348" s="34">
        <v>0</v>
      </c>
      <c r="P348" s="34">
        <v>0</v>
      </c>
      <c r="Q348" s="34">
        <v>0</v>
      </c>
      <c r="R348" s="34">
        <v>0</v>
      </c>
      <c r="S348" s="34">
        <v>0</v>
      </c>
      <c r="T348" s="34">
        <v>42588014.32</v>
      </c>
      <c r="U348" s="35"/>
      <c r="V348" s="85"/>
      <c r="W348" s="17"/>
      <c r="X348" s="17" t="s">
        <v>716</v>
      </c>
      <c r="Y348" s="15"/>
      <c r="Z348" s="17"/>
      <c r="AA348" s="17" t="s">
        <v>716</v>
      </c>
      <c r="AB348" s="81"/>
      <c r="AC348" s="16" t="s">
        <v>716</v>
      </c>
      <c r="AD348" s="16" t="s">
        <v>849</v>
      </c>
      <c r="AE348" s="16" t="s">
        <v>855</v>
      </c>
      <c r="AF348" s="16" t="str">
        <f>_xlfn.CONCAT(EjecucionHaciendaDiciembre[[#This Row],[NOMBRE_RUBRO]]," - ",EjecucionHaciendaDiciembre[[#This Row],[NOMBRE_RECURSO]])</f>
        <v>Para la adquisición de activos no financieros - 1.2.1.0.00 - INGRESOS CORRIENTES DE LIBRE DESTINACION</v>
      </c>
      <c r="AH348" s="1"/>
      <c r="AI348" s="1"/>
      <c r="AJ348" s="1"/>
      <c r="AK348" s="1"/>
      <c r="AL348" s="1"/>
      <c r="AM348" s="1"/>
    </row>
    <row r="349" spans="1:39" ht="60.75" customHeight="1" x14ac:dyDescent="0.3">
      <c r="A349" s="48" t="s">
        <v>112</v>
      </c>
      <c r="B349" s="48" t="s">
        <v>210</v>
      </c>
      <c r="C349" s="49" t="s">
        <v>234</v>
      </c>
      <c r="D349" s="49" t="s">
        <v>310</v>
      </c>
      <c r="E349" s="49" t="s">
        <v>224</v>
      </c>
      <c r="F349" s="48" t="s">
        <v>378</v>
      </c>
      <c r="G349" s="49" t="s">
        <v>399</v>
      </c>
      <c r="H349" s="48" t="s">
        <v>539</v>
      </c>
      <c r="I349" s="50">
        <v>0</v>
      </c>
      <c r="J349" s="50">
        <v>3067457726.9099998</v>
      </c>
      <c r="K349" s="50">
        <v>0</v>
      </c>
      <c r="L349" s="50">
        <v>0</v>
      </c>
      <c r="M349" s="50">
        <v>0</v>
      </c>
      <c r="N349" s="50">
        <v>3067457726.9099998</v>
      </c>
      <c r="O349" s="50">
        <v>1022485908.97</v>
      </c>
      <c r="P349" s="50">
        <v>1022485908.97</v>
      </c>
      <c r="Q349" s="50">
        <v>1022485908.97</v>
      </c>
      <c r="R349" s="50">
        <v>1022485908.97</v>
      </c>
      <c r="S349" s="50">
        <v>1022485908.97</v>
      </c>
      <c r="T349" s="50">
        <v>2044971817.9400001</v>
      </c>
      <c r="U349" s="51"/>
      <c r="V349" s="52">
        <v>190600100</v>
      </c>
      <c r="W349" s="17"/>
      <c r="X349" s="17" t="s">
        <v>716</v>
      </c>
      <c r="Y349" s="15"/>
      <c r="Z349" s="17"/>
      <c r="AA349" s="17" t="s">
        <v>716</v>
      </c>
      <c r="AB349" s="81"/>
      <c r="AC349" s="16" t="s">
        <v>716</v>
      </c>
      <c r="AD349" s="16" t="s">
        <v>10</v>
      </c>
      <c r="AE349" s="16" t="s">
        <v>855</v>
      </c>
      <c r="AF349" s="16" t="str">
        <f>_xlfn.CONCAT(EjecucionHaciendaDiciembre[[#This Row],[NOMBRE_RUBRO]]," - ",EjecucionHaciendaDiciembre[[#This Row],[NOMBRE_RECURSO]])</f>
        <v>Para la adquisición de activos no financieros - 1.3.1.1.05 - RECURSOS DE CREDITO INTERNO</v>
      </c>
      <c r="AH349" s="1"/>
      <c r="AI349" s="1"/>
      <c r="AJ349" s="1"/>
      <c r="AK349" s="1"/>
      <c r="AL349" s="1"/>
      <c r="AM349" s="1"/>
    </row>
    <row r="350" spans="1:39" ht="43.2" x14ac:dyDescent="0.3">
      <c r="A350" s="3" t="s">
        <v>112</v>
      </c>
      <c r="B350" s="3" t="s">
        <v>210</v>
      </c>
      <c r="C350" s="2" t="s">
        <v>218</v>
      </c>
      <c r="D350" s="2" t="s">
        <v>294</v>
      </c>
      <c r="E350" s="2" t="s">
        <v>19</v>
      </c>
      <c r="F350" s="3" t="s">
        <v>381</v>
      </c>
      <c r="G350" s="55" t="s">
        <v>527</v>
      </c>
      <c r="H350" s="3" t="s">
        <v>563</v>
      </c>
      <c r="I350" s="4">
        <v>0</v>
      </c>
      <c r="J350" s="4">
        <v>0</v>
      </c>
      <c r="K350" s="4">
        <v>0</v>
      </c>
      <c r="L350" s="4">
        <v>999389767</v>
      </c>
      <c r="M350" s="4">
        <v>0</v>
      </c>
      <c r="N350" s="4">
        <v>999389767</v>
      </c>
      <c r="O350" s="4">
        <v>999389767</v>
      </c>
      <c r="P350" s="4">
        <v>999389767</v>
      </c>
      <c r="Q350" s="4">
        <v>999389767</v>
      </c>
      <c r="R350" s="4">
        <v>999389767</v>
      </c>
      <c r="S350" s="4">
        <v>999389767</v>
      </c>
      <c r="T350" s="4">
        <v>0</v>
      </c>
      <c r="U350" s="23" t="s">
        <v>775</v>
      </c>
      <c r="V350" s="24">
        <v>220206100</v>
      </c>
      <c r="W350" s="17" t="s">
        <v>789</v>
      </c>
      <c r="X350" s="17" t="s">
        <v>748</v>
      </c>
      <c r="Y350" s="15" t="s">
        <v>779</v>
      </c>
      <c r="Z350" s="17">
        <v>2024</v>
      </c>
      <c r="AA350" s="17" t="s">
        <v>716</v>
      </c>
      <c r="AB350" s="81">
        <v>2024</v>
      </c>
      <c r="AC350" s="16" t="s">
        <v>716</v>
      </c>
      <c r="AD350" s="16" t="s">
        <v>849</v>
      </c>
      <c r="AE350" s="16" t="s">
        <v>888</v>
      </c>
      <c r="AF350" s="16" t="str">
        <f>_xlfn.CONCAT(EjecucionHaciendaDiciembre[[#This Row],[NOMBRE_RUBRO]]," - ",EjecucionHaciendaDiciembre[[#This Row],[NOMBRE_RECURSO]])</f>
        <v>Para la adquisición de activos no financieros - 1.3.3.1.00-RECURSOS DEL BALANCE DE LIBRE DESTINACION</v>
      </c>
      <c r="AH350" s="1"/>
      <c r="AI350" s="1"/>
      <c r="AJ350" s="1"/>
      <c r="AK350" s="1"/>
      <c r="AL350" s="1"/>
      <c r="AM350" s="1"/>
    </row>
    <row r="351" spans="1:39" ht="28.8" x14ac:dyDescent="0.3">
      <c r="A351" s="14" t="s">
        <v>113</v>
      </c>
      <c r="B351" s="14" t="s">
        <v>211</v>
      </c>
      <c r="C351" s="15"/>
      <c r="D351" s="15"/>
      <c r="E351" s="15"/>
      <c r="F351" s="14"/>
      <c r="G351" s="15"/>
      <c r="H351" s="14"/>
      <c r="I351" s="16">
        <v>0</v>
      </c>
      <c r="J351" s="16">
        <v>50000000</v>
      </c>
      <c r="K351" s="16">
        <v>0</v>
      </c>
      <c r="L351" s="16">
        <v>50000000</v>
      </c>
      <c r="M351" s="16">
        <v>50000000</v>
      </c>
      <c r="N351" s="16">
        <v>50000000</v>
      </c>
      <c r="O351" s="16">
        <v>50000000</v>
      </c>
      <c r="P351" s="16">
        <v>50000000</v>
      </c>
      <c r="Q351" s="16">
        <v>50000000</v>
      </c>
      <c r="R351" s="16">
        <v>0</v>
      </c>
      <c r="S351" s="16">
        <v>0</v>
      </c>
      <c r="T351" s="16">
        <v>0</v>
      </c>
      <c r="U351" s="17"/>
      <c r="V351" s="17"/>
      <c r="W351" s="17"/>
      <c r="X351" s="17" t="s">
        <v>716</v>
      </c>
      <c r="Y351" s="15"/>
      <c r="Z351" s="17"/>
      <c r="AA351" s="17" t="s">
        <v>716</v>
      </c>
      <c r="AB351" s="81"/>
      <c r="AC351" s="16" t="s">
        <v>716</v>
      </c>
      <c r="AD351" s="16" t="s">
        <v>716</v>
      </c>
      <c r="AE351" s="16" t="s">
        <v>716</v>
      </c>
      <c r="AF351" s="16" t="str">
        <f>_xlfn.CONCAT(EjecucionHaciendaDiciembre[[#This Row],[NOMBRE_RUBRO]]," - ",EjecucionHaciendaDiciembre[[#This Row],[NOMBRE_RECURSO]])</f>
        <v xml:space="preserve">Gastos de comercialización y producción - </v>
      </c>
      <c r="AH351" s="1"/>
      <c r="AI351" s="1"/>
      <c r="AJ351" s="1"/>
      <c r="AK351" s="1"/>
      <c r="AL351" s="1"/>
      <c r="AM351" s="1"/>
    </row>
    <row r="352" spans="1:39" ht="14.4" x14ac:dyDescent="0.3">
      <c r="A352" s="14" t="s">
        <v>114</v>
      </c>
      <c r="B352" s="14" t="s">
        <v>162</v>
      </c>
      <c r="C352" s="15"/>
      <c r="D352" s="15"/>
      <c r="E352" s="15"/>
      <c r="F352" s="14"/>
      <c r="G352" s="15"/>
      <c r="H352" s="14"/>
      <c r="I352" s="16">
        <v>0</v>
      </c>
      <c r="J352" s="16">
        <v>50000000</v>
      </c>
      <c r="K352" s="16">
        <v>0</v>
      </c>
      <c r="L352" s="16">
        <v>50000000</v>
      </c>
      <c r="M352" s="16">
        <v>50000000</v>
      </c>
      <c r="N352" s="16">
        <v>50000000</v>
      </c>
      <c r="O352" s="16">
        <v>50000000</v>
      </c>
      <c r="P352" s="16">
        <v>50000000</v>
      </c>
      <c r="Q352" s="16">
        <v>50000000</v>
      </c>
      <c r="R352" s="16">
        <v>0</v>
      </c>
      <c r="S352" s="16">
        <v>0</v>
      </c>
      <c r="T352" s="16">
        <v>0</v>
      </c>
      <c r="U352" s="17"/>
      <c r="V352" s="17"/>
      <c r="W352" s="17"/>
      <c r="X352" s="17" t="s">
        <v>716</v>
      </c>
      <c r="Y352" s="15"/>
      <c r="Z352" s="17"/>
      <c r="AA352" s="17" t="s">
        <v>716</v>
      </c>
      <c r="AB352" s="81"/>
      <c r="AC352" s="16" t="s">
        <v>716</v>
      </c>
      <c r="AD352" s="16" t="s">
        <v>716</v>
      </c>
      <c r="AE352" s="16" t="s">
        <v>716</v>
      </c>
      <c r="AF352" s="16" t="str">
        <f>_xlfn.CONCAT(EjecucionHaciendaDiciembre[[#This Row],[NOMBRE_RUBRO]]," - ",EjecucionHaciendaDiciembre[[#This Row],[NOMBRE_RECURSO]])</f>
        <v xml:space="preserve">Adquisición de servicios - </v>
      </c>
      <c r="AH352" s="1"/>
      <c r="AI352" s="1"/>
      <c r="AJ352" s="1"/>
      <c r="AK352" s="1"/>
      <c r="AL352" s="1"/>
      <c r="AM352" s="1"/>
    </row>
    <row r="353" spans="1:39" ht="86.4" x14ac:dyDescent="0.3">
      <c r="A353" s="36" t="s">
        <v>115</v>
      </c>
      <c r="B353" s="36" t="s">
        <v>164</v>
      </c>
      <c r="C353" s="37" t="s">
        <v>218</v>
      </c>
      <c r="D353" s="37" t="s">
        <v>294</v>
      </c>
      <c r="E353" s="37" t="s">
        <v>370</v>
      </c>
      <c r="F353" s="36" t="s">
        <v>785</v>
      </c>
      <c r="G353" s="37" t="s">
        <v>528</v>
      </c>
      <c r="H353" s="36" t="s">
        <v>653</v>
      </c>
      <c r="I353" s="38">
        <v>0</v>
      </c>
      <c r="J353" s="38">
        <v>50000000</v>
      </c>
      <c r="K353" s="38">
        <v>0</v>
      </c>
      <c r="L353" s="38">
        <v>0</v>
      </c>
      <c r="M353" s="38">
        <v>50000000</v>
      </c>
      <c r="N353" s="38">
        <v>0</v>
      </c>
      <c r="O353" s="38">
        <v>0</v>
      </c>
      <c r="P353" s="38">
        <v>0</v>
      </c>
      <c r="Q353" s="38">
        <v>0</v>
      </c>
      <c r="R353" s="38">
        <v>0</v>
      </c>
      <c r="S353" s="38">
        <v>0</v>
      </c>
      <c r="T353" s="38">
        <v>0</v>
      </c>
      <c r="U353" s="39"/>
      <c r="V353" s="39"/>
      <c r="W353" s="17" t="s">
        <v>787</v>
      </c>
      <c r="X353" s="17" t="s">
        <v>716</v>
      </c>
      <c r="Y353" s="15"/>
      <c r="Z353" s="17"/>
      <c r="AA353" s="17" t="s">
        <v>716</v>
      </c>
      <c r="AB353" s="81"/>
      <c r="AC353" s="16" t="s">
        <v>716</v>
      </c>
      <c r="AD353" s="16" t="s">
        <v>849</v>
      </c>
      <c r="AE353" s="16" t="s">
        <v>716</v>
      </c>
      <c r="AF353" s="16" t="str">
        <f>_xlfn.CONCAT(EjecucionHaciendaDiciembre[[#This Row],[NOMBRE_RUBRO]]," - ",EjecucionHaciendaDiciembre[[#This Row],[NOMBRE_RECURSO]])</f>
        <v>Servicios prestados a las empresas y servicios de producción - 1.3.3.1.00-RECURSOS DEL BALANCE DE LIBRE DESTINACION</v>
      </c>
      <c r="AH353" s="1"/>
      <c r="AI353" s="1"/>
      <c r="AJ353" s="1"/>
      <c r="AK353" s="1"/>
      <c r="AL353" s="1"/>
      <c r="AM353" s="1"/>
    </row>
    <row r="354" spans="1:39" ht="86.4" x14ac:dyDescent="0.3">
      <c r="A354" s="3" t="s">
        <v>115</v>
      </c>
      <c r="B354" s="3" t="s">
        <v>164</v>
      </c>
      <c r="C354" s="2" t="s">
        <v>218</v>
      </c>
      <c r="D354" s="2" t="s">
        <v>294</v>
      </c>
      <c r="E354" s="2" t="s">
        <v>370</v>
      </c>
      <c r="F354" s="3" t="s">
        <v>785</v>
      </c>
      <c r="G354" s="2" t="s">
        <v>416</v>
      </c>
      <c r="H354" s="3" t="s">
        <v>653</v>
      </c>
      <c r="I354" s="4">
        <v>0</v>
      </c>
      <c r="J354" s="4">
        <v>0</v>
      </c>
      <c r="K354" s="4">
        <v>0</v>
      </c>
      <c r="L354" s="4">
        <v>50000000</v>
      </c>
      <c r="M354" s="4">
        <v>0</v>
      </c>
      <c r="N354" s="4">
        <v>50000000</v>
      </c>
      <c r="O354" s="4">
        <v>50000000</v>
      </c>
      <c r="P354" s="4">
        <v>50000000</v>
      </c>
      <c r="Q354" s="4">
        <v>50000000</v>
      </c>
      <c r="R354" s="4">
        <v>0</v>
      </c>
      <c r="S354" s="4">
        <v>0</v>
      </c>
      <c r="T354" s="4">
        <v>0</v>
      </c>
      <c r="U354" s="23" t="s">
        <v>654</v>
      </c>
      <c r="V354" s="31">
        <v>210203300</v>
      </c>
      <c r="W354" s="17" t="s">
        <v>825</v>
      </c>
      <c r="X354" s="17" t="s">
        <v>751</v>
      </c>
      <c r="Y354" s="15" t="s">
        <v>781</v>
      </c>
      <c r="Z354" s="17">
        <v>2025</v>
      </c>
      <c r="AA354" s="17" t="s">
        <v>716</v>
      </c>
      <c r="AB354" s="81">
        <v>2025</v>
      </c>
      <c r="AC354" s="16" t="s">
        <v>716</v>
      </c>
      <c r="AD354" s="16" t="s">
        <v>849</v>
      </c>
      <c r="AE354" s="16" t="s">
        <v>855</v>
      </c>
      <c r="AF354" s="16" t="str">
        <f>_xlfn.CONCAT(EjecucionHaciendaDiciembre[[#This Row],[NOMBRE_RUBRO]]," - ",EjecucionHaciendaDiciembre[[#This Row],[NOMBRE_RECURSO]])</f>
        <v>Servicios prestados a las empresas y servicios de producción - 1.3.3.1.00-RECURSOS DEL BALANCE DE LIBRE DESTINACION</v>
      </c>
      <c r="AH354" s="1"/>
      <c r="AI354" s="1"/>
      <c r="AJ354" s="1"/>
      <c r="AK354" s="1"/>
      <c r="AL354" s="1"/>
      <c r="AM354" s="1"/>
    </row>
    <row r="355" spans="1:39" ht="14.4" x14ac:dyDescent="0.3">
      <c r="A355" s="14" t="s">
        <v>116</v>
      </c>
      <c r="B355" s="14" t="s">
        <v>212</v>
      </c>
      <c r="C355" s="15"/>
      <c r="D355" s="15"/>
      <c r="E355" s="15"/>
      <c r="F355" s="14"/>
      <c r="G355" s="15"/>
      <c r="H355" s="14"/>
      <c r="I355" s="16">
        <v>20207050405</v>
      </c>
      <c r="J355" s="16">
        <v>0</v>
      </c>
      <c r="K355" s="16">
        <v>0</v>
      </c>
      <c r="L355" s="16">
        <v>0</v>
      </c>
      <c r="M355" s="16">
        <v>0</v>
      </c>
      <c r="N355" s="16">
        <v>20207050405</v>
      </c>
      <c r="O355" s="16">
        <v>16281966746.25</v>
      </c>
      <c r="P355" s="16">
        <v>16281966746.25</v>
      </c>
      <c r="Q355" s="16">
        <v>16257966743.93</v>
      </c>
      <c r="R355" s="16">
        <v>16257966743.93</v>
      </c>
      <c r="S355" s="16">
        <v>16039421675.540001</v>
      </c>
      <c r="T355" s="16">
        <v>3925083658.75</v>
      </c>
      <c r="U355" s="17"/>
      <c r="V355" s="17"/>
      <c r="W355" s="17"/>
      <c r="X355" s="17" t="s">
        <v>716</v>
      </c>
      <c r="Y355" s="15"/>
      <c r="Z355" s="17"/>
      <c r="AA355" s="17" t="s">
        <v>716</v>
      </c>
      <c r="AB355" s="81"/>
      <c r="AC355" s="16" t="s">
        <v>716</v>
      </c>
      <c r="AD355" s="16" t="s">
        <v>716</v>
      </c>
      <c r="AE355" s="16" t="s">
        <v>716</v>
      </c>
      <c r="AF355" s="16" t="str">
        <f>_xlfn.CONCAT(EjecucionHaciendaDiciembre[[#This Row],[NOMBRE_RUBRO]]," - ",EjecucionHaciendaDiciembre[[#This Row],[NOMBRE_RECURSO]])</f>
        <v xml:space="preserve">Disminución de pasivos - </v>
      </c>
      <c r="AH355" s="1"/>
      <c r="AI355" s="1"/>
      <c r="AJ355" s="1"/>
      <c r="AK355" s="1"/>
      <c r="AL355" s="1"/>
      <c r="AM355" s="1"/>
    </row>
    <row r="356" spans="1:39" ht="28.8" x14ac:dyDescent="0.3">
      <c r="A356" s="14" t="s">
        <v>117</v>
      </c>
      <c r="B356" s="14" t="s">
        <v>213</v>
      </c>
      <c r="C356" s="15"/>
      <c r="D356" s="15"/>
      <c r="E356" s="15"/>
      <c r="F356" s="14"/>
      <c r="G356" s="15"/>
      <c r="H356" s="14"/>
      <c r="I356" s="16">
        <v>20207050405</v>
      </c>
      <c r="J356" s="16">
        <v>0</v>
      </c>
      <c r="K356" s="16">
        <v>0</v>
      </c>
      <c r="L356" s="16">
        <v>0</v>
      </c>
      <c r="M356" s="16">
        <v>0</v>
      </c>
      <c r="N356" s="16">
        <v>20207050405</v>
      </c>
      <c r="O356" s="16">
        <v>16281966746.25</v>
      </c>
      <c r="P356" s="16">
        <v>16281966746.25</v>
      </c>
      <c r="Q356" s="16">
        <v>16257966743.93</v>
      </c>
      <c r="R356" s="16">
        <v>16257966743.93</v>
      </c>
      <c r="S356" s="16">
        <v>16039421675.540001</v>
      </c>
      <c r="T356" s="16">
        <v>3925083658.75</v>
      </c>
      <c r="U356" s="17"/>
      <c r="V356" s="17"/>
      <c r="W356" s="17"/>
      <c r="X356" s="17" t="s">
        <v>716</v>
      </c>
      <c r="Y356" s="15"/>
      <c r="Z356" s="17"/>
      <c r="AA356" s="17" t="s">
        <v>716</v>
      </c>
      <c r="AB356" s="81"/>
      <c r="AC356" s="16" t="s">
        <v>716</v>
      </c>
      <c r="AD356" s="16" t="s">
        <v>716</v>
      </c>
      <c r="AE356" s="16" t="s">
        <v>716</v>
      </c>
      <c r="AF356" s="16" t="str">
        <f>_xlfn.CONCAT(EjecucionHaciendaDiciembre[[#This Row],[NOMBRE_RUBRO]]," - ",EjecucionHaciendaDiciembre[[#This Row],[NOMBRE_RECURSO]])</f>
        <v xml:space="preserve">Programas de saneamiento fiscal y financiero - </v>
      </c>
      <c r="AH356" s="1"/>
      <c r="AI356" s="1"/>
      <c r="AJ356" s="1"/>
      <c r="AK356" s="1"/>
      <c r="AL356" s="1"/>
      <c r="AM356" s="1"/>
    </row>
    <row r="357" spans="1:39" ht="57.6" x14ac:dyDescent="0.3">
      <c r="A357" s="3" t="s">
        <v>118</v>
      </c>
      <c r="B357" s="3" t="s">
        <v>214</v>
      </c>
      <c r="C357" s="2" t="s">
        <v>215</v>
      </c>
      <c r="D357" s="2" t="s">
        <v>291</v>
      </c>
      <c r="E357" s="2" t="s">
        <v>215</v>
      </c>
      <c r="F357" s="3" t="s">
        <v>385</v>
      </c>
      <c r="G357" s="2" t="s">
        <v>399</v>
      </c>
      <c r="H357" s="3" t="s">
        <v>715</v>
      </c>
      <c r="I357" s="4">
        <v>4572648548</v>
      </c>
      <c r="J357" s="4">
        <v>0</v>
      </c>
      <c r="K357" s="4">
        <v>0</v>
      </c>
      <c r="L357" s="4">
        <v>0</v>
      </c>
      <c r="M357" s="4">
        <v>0</v>
      </c>
      <c r="N357" s="4">
        <v>4572648548</v>
      </c>
      <c r="O357" s="4">
        <v>2370779508.25</v>
      </c>
      <c r="P357" s="4">
        <v>2370779508.25</v>
      </c>
      <c r="Q357" s="4">
        <v>2346779505.9299998</v>
      </c>
      <c r="R357" s="4">
        <v>2346779505.9299998</v>
      </c>
      <c r="S357" s="4">
        <v>2128234437.54</v>
      </c>
      <c r="T357" s="4">
        <v>2201869039.75</v>
      </c>
      <c r="U357" s="23" t="s">
        <v>630</v>
      </c>
      <c r="V357" s="24">
        <v>459900300</v>
      </c>
      <c r="W357" s="17"/>
      <c r="X357" s="17" t="s">
        <v>817</v>
      </c>
      <c r="Y357" s="15" t="s">
        <v>779</v>
      </c>
      <c r="Z357" s="17"/>
      <c r="AA357" s="17" t="s">
        <v>833</v>
      </c>
      <c r="AB357" s="81"/>
      <c r="AC357" s="16" t="s">
        <v>716</v>
      </c>
      <c r="AD357" s="16" t="s">
        <v>849</v>
      </c>
      <c r="AE357" s="16" t="s">
        <v>855</v>
      </c>
      <c r="AF357" s="16" t="str">
        <f>_xlfn.CONCAT(EjecucionHaciendaDiciembre[[#This Row],[NOMBRE_RUBRO]]," - ",EjecucionHaciendaDiciembre[[#This Row],[NOMBRE_RECURSO]])</f>
        <v>Pago de déficit fiscal, de pasivo laboral y prestacional en programas de saneamiento fiscal y financiero - 1.2.1.0.00 - INGRESOS CORRIENTES DE LIBRE DESTINACION</v>
      </c>
      <c r="AH357" s="1"/>
      <c r="AI357" s="1"/>
      <c r="AJ357" s="1"/>
      <c r="AK357" s="1"/>
      <c r="AL357" s="1"/>
      <c r="AM357" s="1"/>
    </row>
    <row r="358" spans="1:39" ht="43.2" x14ac:dyDescent="0.3">
      <c r="A358" s="3" t="s">
        <v>118</v>
      </c>
      <c r="B358" s="3" t="s">
        <v>214</v>
      </c>
      <c r="C358" s="2" t="s">
        <v>268</v>
      </c>
      <c r="D358" s="2" t="s">
        <v>344</v>
      </c>
      <c r="E358" s="2" t="s">
        <v>215</v>
      </c>
      <c r="F358" s="3" t="s">
        <v>385</v>
      </c>
      <c r="G358" s="2" t="s">
        <v>399</v>
      </c>
      <c r="H358" s="3" t="s">
        <v>715</v>
      </c>
      <c r="I358" s="4">
        <v>7002115329</v>
      </c>
      <c r="J358" s="4">
        <v>0</v>
      </c>
      <c r="K358" s="4">
        <v>0</v>
      </c>
      <c r="L358" s="4">
        <v>0</v>
      </c>
      <c r="M358" s="4">
        <v>0</v>
      </c>
      <c r="N358" s="4">
        <v>7002115329</v>
      </c>
      <c r="O358" s="4">
        <v>7002115329</v>
      </c>
      <c r="P358" s="4">
        <v>7002115329</v>
      </c>
      <c r="Q358" s="4">
        <v>7002115329</v>
      </c>
      <c r="R358" s="4">
        <v>7002115329</v>
      </c>
      <c r="S358" s="4">
        <v>7002115329</v>
      </c>
      <c r="T358" s="4">
        <v>0</v>
      </c>
      <c r="U358" s="23" t="s">
        <v>630</v>
      </c>
      <c r="V358" s="24">
        <v>459900300</v>
      </c>
      <c r="W358" s="17"/>
      <c r="X358" s="17" t="s">
        <v>817</v>
      </c>
      <c r="Y358" s="15" t="s">
        <v>779</v>
      </c>
      <c r="Z358" s="17"/>
      <c r="AA358" s="17" t="s">
        <v>833</v>
      </c>
      <c r="AB358" s="81"/>
      <c r="AC358" s="16" t="s">
        <v>716</v>
      </c>
      <c r="AD358" s="16" t="s">
        <v>848</v>
      </c>
      <c r="AE358" s="16" t="s">
        <v>855</v>
      </c>
      <c r="AF358" s="16" t="str">
        <f>_xlfn.CONCAT(EjecucionHaciendaDiciembre[[#This Row],[NOMBRE_RUBRO]]," - ",EjecucionHaciendaDiciembre[[#This Row],[NOMBRE_RECURSO]])</f>
        <v>Pago de déficit fiscal, de pasivo laboral y prestacional en programas de saneamiento fiscal y financiero - 1.2.3.1.19 - ESTAMPILLAS</v>
      </c>
      <c r="AH358" s="1"/>
      <c r="AI358" s="1"/>
      <c r="AJ358" s="1"/>
      <c r="AK358" s="1"/>
      <c r="AL358" s="1"/>
      <c r="AM358" s="1"/>
    </row>
    <row r="359" spans="1:39" ht="57.6" x14ac:dyDescent="0.3">
      <c r="A359" s="3" t="s">
        <v>118</v>
      </c>
      <c r="B359" s="3" t="s">
        <v>214</v>
      </c>
      <c r="C359" s="2" t="s">
        <v>290</v>
      </c>
      <c r="D359" s="2" t="s">
        <v>366</v>
      </c>
      <c r="E359" s="2" t="s">
        <v>215</v>
      </c>
      <c r="F359" s="3" t="s">
        <v>385</v>
      </c>
      <c r="G359" s="2" t="s">
        <v>399</v>
      </c>
      <c r="H359" s="3" t="s">
        <v>715</v>
      </c>
      <c r="I359" s="4">
        <v>2691317740</v>
      </c>
      <c r="J359" s="4">
        <v>0</v>
      </c>
      <c r="K359" s="4">
        <v>0</v>
      </c>
      <c r="L359" s="4">
        <v>0</v>
      </c>
      <c r="M359" s="4">
        <v>0</v>
      </c>
      <c r="N359" s="4">
        <v>2691317740</v>
      </c>
      <c r="O359" s="4">
        <v>1000000000</v>
      </c>
      <c r="P359" s="4">
        <v>1000000000</v>
      </c>
      <c r="Q359" s="4">
        <v>1000000000</v>
      </c>
      <c r="R359" s="4">
        <v>1000000000</v>
      </c>
      <c r="S359" s="4">
        <v>1000000000</v>
      </c>
      <c r="T359" s="4">
        <v>1691317740</v>
      </c>
      <c r="U359" s="23" t="s">
        <v>630</v>
      </c>
      <c r="V359" s="24">
        <v>459900300</v>
      </c>
      <c r="W359" s="17"/>
      <c r="X359" s="17" t="s">
        <v>817</v>
      </c>
      <c r="Y359" s="15" t="s">
        <v>779</v>
      </c>
      <c r="Z359" s="17"/>
      <c r="AA359" s="17" t="s">
        <v>833</v>
      </c>
      <c r="AB359" s="81"/>
      <c r="AC359" s="16" t="s">
        <v>716</v>
      </c>
      <c r="AD359" s="16" t="s">
        <v>849</v>
      </c>
      <c r="AE359" s="16" t="s">
        <v>855</v>
      </c>
      <c r="AF359" s="16" t="str">
        <f>_xlfn.CONCAT(EjecucionHaciendaDiciembre[[#This Row],[NOMBRE_RUBRO]]," - ",EjecucionHaciendaDiciembre[[#This Row],[NOMBRE_RECURSO]])</f>
        <v>Pago de déficit fiscal, de pasivo laboral y prestacional en programas de saneamiento fiscal y financiero - 1.2.3.1.19 - 30% IMPUESTO DE REGISTRO</v>
      </c>
      <c r="AH359" s="1"/>
      <c r="AI359" s="1"/>
      <c r="AJ359" s="1"/>
      <c r="AK359" s="1"/>
      <c r="AL359" s="1"/>
      <c r="AM359" s="1"/>
    </row>
    <row r="360" spans="1:39" ht="57.6" x14ac:dyDescent="0.3">
      <c r="A360" s="3" t="s">
        <v>118</v>
      </c>
      <c r="B360" s="3" t="s">
        <v>214</v>
      </c>
      <c r="C360" s="2" t="s">
        <v>264</v>
      </c>
      <c r="D360" s="2" t="s">
        <v>340</v>
      </c>
      <c r="E360" s="2" t="s">
        <v>215</v>
      </c>
      <c r="F360" s="3" t="s">
        <v>385</v>
      </c>
      <c r="G360" s="2" t="s">
        <v>399</v>
      </c>
      <c r="H360" s="3" t="s">
        <v>715</v>
      </c>
      <c r="I360" s="4">
        <v>5940968788</v>
      </c>
      <c r="J360" s="4">
        <v>0</v>
      </c>
      <c r="K360" s="4">
        <v>0</v>
      </c>
      <c r="L360" s="4">
        <v>0</v>
      </c>
      <c r="M360" s="4">
        <v>0</v>
      </c>
      <c r="N360" s="4">
        <v>5940968788</v>
      </c>
      <c r="O360" s="4">
        <v>5909071909</v>
      </c>
      <c r="P360" s="4">
        <v>5909071909</v>
      </c>
      <c r="Q360" s="4">
        <v>5909071909</v>
      </c>
      <c r="R360" s="4">
        <v>5909071909</v>
      </c>
      <c r="S360" s="4">
        <v>5909071909</v>
      </c>
      <c r="T360" s="4">
        <v>31896879</v>
      </c>
      <c r="U360" s="23" t="s">
        <v>630</v>
      </c>
      <c r="V360" s="24">
        <v>459900300</v>
      </c>
      <c r="W360" s="17"/>
      <c r="X360" s="17" t="s">
        <v>817</v>
      </c>
      <c r="Y360" s="15" t="s">
        <v>779</v>
      </c>
      <c r="Z360" s="17"/>
      <c r="AA360" s="17" t="s">
        <v>833</v>
      </c>
      <c r="AB360" s="81"/>
      <c r="AC360" s="16" t="s">
        <v>716</v>
      </c>
      <c r="AD360" s="16" t="s">
        <v>848</v>
      </c>
      <c r="AE360" s="16" t="s">
        <v>855</v>
      </c>
      <c r="AF360" s="16" t="str">
        <f>_xlfn.CONCAT(EjecucionHaciendaDiciembre[[#This Row],[NOMBRE_RUBRO]]," - ",EjecucionHaciendaDiciembre[[#This Row],[NOMBRE_RECURSO]])</f>
        <v>Pago de déficit fiscal, de pasivo laboral y prestacional en programas de saneamiento fiscal y financiero - 1.2.3.1.19 - ESTAMPILLAS PRO HOSPITALES</v>
      </c>
      <c r="AH360" s="1"/>
      <c r="AI360" s="1"/>
      <c r="AJ360" s="1"/>
      <c r="AK360" s="1"/>
      <c r="AL360" s="1"/>
      <c r="AM360" s="1"/>
    </row>
    <row r="361" spans="1:39" ht="85.5" customHeight="1" x14ac:dyDescent="0.3">
      <c r="A361" s="68"/>
      <c r="B361" s="68"/>
      <c r="C361" s="69"/>
      <c r="D361" s="69"/>
      <c r="E361" s="69"/>
      <c r="F361" s="68"/>
      <c r="G361" s="70" t="s">
        <v>399</v>
      </c>
      <c r="H361" s="71" t="s">
        <v>378</v>
      </c>
      <c r="I361" s="72"/>
      <c r="J361" s="72"/>
      <c r="K361" s="72"/>
      <c r="L361" s="72"/>
      <c r="M361" s="72"/>
      <c r="N361" s="72"/>
      <c r="O361" s="72"/>
      <c r="P361" s="72"/>
      <c r="Q361" s="72">
        <v>1000000000</v>
      </c>
      <c r="R361" s="72"/>
      <c r="S361" s="72"/>
      <c r="T361" s="72"/>
      <c r="U361" s="73" t="s">
        <v>892</v>
      </c>
      <c r="V361" s="73"/>
      <c r="W361" s="73" t="s">
        <v>900</v>
      </c>
      <c r="X361" s="73"/>
      <c r="Y361" s="74"/>
      <c r="Z361" s="73"/>
      <c r="AA361" s="73"/>
      <c r="AB361" s="82"/>
      <c r="AC361" s="72"/>
      <c r="AD361" s="72" t="s">
        <v>893</v>
      </c>
      <c r="AE361" s="16" t="s">
        <v>855</v>
      </c>
      <c r="AF361" s="16" t="str">
        <f>_xlfn.CONCAT(EjecucionHaciendaDiciembre[[#This Row],[NOMBRE_RUBRO]]," - ",EjecucionHaciendaDiciembre[[#This Row],[NOMBRE_RECURSO]])</f>
        <v xml:space="preserve"> - </v>
      </c>
    </row>
    <row r="362" spans="1:39" ht="85.5" customHeight="1" x14ac:dyDescent="0.3">
      <c r="A362" s="68"/>
      <c r="B362" s="68"/>
      <c r="C362" s="69"/>
      <c r="D362" s="69"/>
      <c r="E362" s="69"/>
      <c r="F362" s="68"/>
      <c r="G362" s="70" t="s">
        <v>896</v>
      </c>
      <c r="H362" s="71" t="s">
        <v>897</v>
      </c>
      <c r="I362" s="72"/>
      <c r="J362" s="72"/>
      <c r="K362" s="72"/>
      <c r="L362" s="72"/>
      <c r="M362" s="72"/>
      <c r="N362" s="72"/>
      <c r="O362" s="72"/>
      <c r="P362" s="72"/>
      <c r="Q362" s="72">
        <v>5196800000</v>
      </c>
      <c r="R362" s="72"/>
      <c r="S362" s="72"/>
      <c r="T362" s="72"/>
      <c r="U362" s="73" t="s">
        <v>895</v>
      </c>
      <c r="V362" s="73"/>
      <c r="W362" s="73" t="s">
        <v>894</v>
      </c>
      <c r="X362" s="73"/>
      <c r="Y362" s="74"/>
      <c r="Z362" s="73"/>
      <c r="AA362" s="73"/>
      <c r="AB362" s="82"/>
      <c r="AC362" s="72"/>
      <c r="AD362" s="72" t="s">
        <v>10</v>
      </c>
      <c r="AE362" s="72"/>
      <c r="AF362" s="16" t="str">
        <f>_xlfn.CONCAT(EjecucionHaciendaDiciembre[[#This Row],[NOMBRE_RUBRO]]," - ",EjecucionHaciendaDiciembre[[#This Row],[NOMBRE_RECURSO]])</f>
        <v xml:space="preserve"> - </v>
      </c>
    </row>
    <row r="363" spans="1:39" ht="85.5" customHeight="1" x14ac:dyDescent="0.3">
      <c r="A363" s="68"/>
      <c r="B363" s="68"/>
      <c r="C363" s="69"/>
      <c r="D363" s="69"/>
      <c r="E363" s="69"/>
      <c r="F363" s="68"/>
      <c r="G363" s="70" t="s">
        <v>401</v>
      </c>
      <c r="H363" s="71" t="s">
        <v>898</v>
      </c>
      <c r="I363" s="72"/>
      <c r="J363" s="72"/>
      <c r="K363" s="72"/>
      <c r="L363" s="72"/>
      <c r="M363" s="72"/>
      <c r="N363" s="72"/>
      <c r="O363" s="72"/>
      <c r="P363" s="72"/>
      <c r="Q363" s="72">
        <v>1500000000</v>
      </c>
      <c r="R363" s="72"/>
      <c r="S363" s="72"/>
      <c r="T363" s="72"/>
      <c r="U363" s="73" t="s">
        <v>691</v>
      </c>
      <c r="V363" s="73"/>
      <c r="W363" s="73" t="s">
        <v>894</v>
      </c>
      <c r="X363" s="73"/>
      <c r="Y363" s="74"/>
      <c r="Z363" s="73"/>
      <c r="AA363" s="73"/>
      <c r="AB363" s="82"/>
      <c r="AC363" s="72"/>
      <c r="AD363" s="72" t="s">
        <v>893</v>
      </c>
      <c r="AE363" s="72"/>
      <c r="AF363" s="16" t="str">
        <f>_xlfn.CONCAT(EjecucionHaciendaDiciembre[[#This Row],[NOMBRE_RUBRO]]," - ",EjecucionHaciendaDiciembre[[#This Row],[NOMBRE_RECURSO]])</f>
        <v xml:space="preserve"> - </v>
      </c>
    </row>
    <row r="364" spans="1:39" ht="54" customHeight="1" x14ac:dyDescent="0.3">
      <c r="A364" s="68"/>
      <c r="B364" s="68"/>
      <c r="C364" s="69"/>
      <c r="D364" s="69"/>
      <c r="E364" s="69"/>
      <c r="F364" s="68"/>
      <c r="G364" s="70" t="s">
        <v>399</v>
      </c>
      <c r="H364" s="71" t="s">
        <v>899</v>
      </c>
      <c r="I364" s="72"/>
      <c r="J364" s="72"/>
      <c r="K364" s="72"/>
      <c r="L364" s="72"/>
      <c r="M364" s="72"/>
      <c r="N364" s="72"/>
      <c r="O364" s="72"/>
      <c r="P364" s="72"/>
      <c r="Q364" s="72">
        <v>1310000000</v>
      </c>
      <c r="R364" s="72"/>
      <c r="S364" s="72"/>
      <c r="T364" s="72"/>
      <c r="U364" s="73" t="s">
        <v>691</v>
      </c>
      <c r="V364" s="73"/>
      <c r="W364" s="73" t="s">
        <v>900</v>
      </c>
      <c r="X364" s="73"/>
      <c r="Y364" s="74"/>
      <c r="Z364" s="73"/>
      <c r="AA364" s="73"/>
      <c r="AB364" s="82"/>
      <c r="AC364" s="72"/>
      <c r="AD364" s="72" t="s">
        <v>893</v>
      </c>
      <c r="AE364" s="16" t="s">
        <v>855</v>
      </c>
      <c r="AF364" s="16" t="str">
        <f>_xlfn.CONCAT(EjecucionHaciendaDiciembre[[#This Row],[NOMBRE_RUBRO]]," - ",EjecucionHaciendaDiciembre[[#This Row],[NOMBRE_RECURSO]])</f>
        <v xml:space="preserve"> - </v>
      </c>
    </row>
    <row r="365" spans="1:39" ht="51" customHeight="1" x14ac:dyDescent="0.3">
      <c r="A365" s="68"/>
      <c r="B365" s="68"/>
      <c r="C365" s="69"/>
      <c r="D365" s="69"/>
      <c r="E365" s="69"/>
      <c r="F365" s="68"/>
      <c r="G365" s="70" t="s">
        <v>399</v>
      </c>
      <c r="H365" s="71" t="s">
        <v>901</v>
      </c>
      <c r="I365" s="72"/>
      <c r="J365" s="72"/>
      <c r="K365" s="72"/>
      <c r="L365" s="72"/>
      <c r="M365" s="72"/>
      <c r="N365" s="72"/>
      <c r="O365" s="72"/>
      <c r="P365" s="72"/>
      <c r="Q365" s="72">
        <v>322640000</v>
      </c>
      <c r="R365" s="72"/>
      <c r="S365" s="72"/>
      <c r="T365" s="72"/>
      <c r="U365" s="73" t="s">
        <v>902</v>
      </c>
      <c r="V365" s="73"/>
      <c r="W365" s="73" t="s">
        <v>900</v>
      </c>
      <c r="X365" s="73"/>
      <c r="Y365" s="74"/>
      <c r="Z365" s="73"/>
      <c r="AA365" s="73"/>
      <c r="AB365" s="82"/>
      <c r="AC365" s="72"/>
      <c r="AD365" s="72" t="s">
        <v>851</v>
      </c>
      <c r="AE365" s="72"/>
      <c r="AF365" s="16" t="str">
        <f>_xlfn.CONCAT(EjecucionHaciendaDiciembre[[#This Row],[NOMBRE_RUBRO]]," - ",EjecucionHaciendaDiciembre[[#This Row],[NOMBRE_RECURSO]])</f>
        <v xml:space="preserve"> - </v>
      </c>
    </row>
    <row r="366" spans="1:39" ht="51" customHeight="1" x14ac:dyDescent="0.3">
      <c r="A366" s="68"/>
      <c r="B366" s="68"/>
      <c r="C366" s="69"/>
      <c r="D366" s="69"/>
      <c r="E366" s="69"/>
      <c r="F366" s="68"/>
      <c r="G366" s="70" t="s">
        <v>399</v>
      </c>
      <c r="H366" s="71" t="s">
        <v>901</v>
      </c>
      <c r="I366" s="72"/>
      <c r="J366" s="72"/>
      <c r="K366" s="72"/>
      <c r="L366" s="72"/>
      <c r="M366" s="72"/>
      <c r="N366" s="72"/>
      <c r="O366" s="72"/>
      <c r="P366" s="72"/>
      <c r="Q366" s="72">
        <v>189000000</v>
      </c>
      <c r="R366" s="72"/>
      <c r="S366" s="72"/>
      <c r="T366" s="72"/>
      <c r="U366" s="73" t="s">
        <v>902</v>
      </c>
      <c r="V366" s="73"/>
      <c r="W366" s="73" t="s">
        <v>900</v>
      </c>
      <c r="X366" s="73"/>
      <c r="Y366" s="74"/>
      <c r="Z366" s="73"/>
      <c r="AA366" s="73"/>
      <c r="AB366" s="82"/>
      <c r="AC366" s="72"/>
      <c r="AD366" s="72" t="s">
        <v>903</v>
      </c>
      <c r="AE366" s="72"/>
      <c r="AF366" s="16" t="str">
        <f>_xlfn.CONCAT(EjecucionHaciendaDiciembre[[#This Row],[NOMBRE_RUBRO]]," - ",EjecucionHaciendaDiciembre[[#This Row],[NOMBRE_RECURSO]])</f>
        <v xml:space="preserve"> - </v>
      </c>
    </row>
    <row r="367" spans="1:39" ht="48" customHeight="1" x14ac:dyDescent="0.3">
      <c r="A367" s="68"/>
      <c r="B367" s="68"/>
      <c r="C367" s="69"/>
      <c r="D367" s="69"/>
      <c r="E367" s="69"/>
      <c r="F367" s="68"/>
      <c r="G367" s="70" t="s">
        <v>399</v>
      </c>
      <c r="H367" s="71" t="s">
        <v>901</v>
      </c>
      <c r="I367" s="72"/>
      <c r="J367" s="72"/>
      <c r="K367" s="72"/>
      <c r="L367" s="72"/>
      <c r="M367" s="72"/>
      <c r="N367" s="72"/>
      <c r="O367" s="72"/>
      <c r="P367" s="72"/>
      <c r="Q367" s="72">
        <v>2471510000</v>
      </c>
      <c r="R367" s="72"/>
      <c r="S367" s="72"/>
      <c r="T367" s="72"/>
      <c r="U367" s="73" t="s">
        <v>904</v>
      </c>
      <c r="V367" s="73"/>
      <c r="W367" s="73" t="s">
        <v>900</v>
      </c>
      <c r="X367" s="73"/>
      <c r="Y367" s="74"/>
      <c r="Z367" s="73"/>
      <c r="AA367" s="73"/>
      <c r="AB367" s="82"/>
      <c r="AC367" s="72"/>
      <c r="AD367" s="72" t="s">
        <v>851</v>
      </c>
      <c r="AE367" s="72"/>
      <c r="AF367" s="16" t="str">
        <f>_xlfn.CONCAT(EjecucionHaciendaDiciembre[[#This Row],[NOMBRE_RUBRO]]," - ",EjecucionHaciendaDiciembre[[#This Row],[NOMBRE_RECURSO]])</f>
        <v xml:space="preserve"> - </v>
      </c>
    </row>
    <row r="368" spans="1:39" ht="48" customHeight="1" x14ac:dyDescent="0.3">
      <c r="A368" s="68"/>
      <c r="B368" s="68"/>
      <c r="C368" s="69"/>
      <c r="D368" s="69"/>
      <c r="E368" s="69"/>
      <c r="F368" s="68"/>
      <c r="G368" s="70" t="s">
        <v>399</v>
      </c>
      <c r="H368" s="71" t="s">
        <v>901</v>
      </c>
      <c r="I368" s="72"/>
      <c r="J368" s="72"/>
      <c r="K368" s="72"/>
      <c r="L368" s="72"/>
      <c r="M368" s="72"/>
      <c r="N368" s="72"/>
      <c r="O368" s="72"/>
      <c r="P368" s="72"/>
      <c r="Q368" s="72">
        <v>1104720000</v>
      </c>
      <c r="R368" s="72"/>
      <c r="S368" s="72"/>
      <c r="T368" s="72"/>
      <c r="U368" s="73" t="s">
        <v>904</v>
      </c>
      <c r="V368" s="73"/>
      <c r="W368" s="73" t="s">
        <v>900</v>
      </c>
      <c r="X368" s="73"/>
      <c r="Y368" s="74"/>
      <c r="Z368" s="73"/>
      <c r="AA368" s="73"/>
      <c r="AB368" s="82"/>
      <c r="AC368" s="72"/>
      <c r="AD368" s="72" t="s">
        <v>903</v>
      </c>
      <c r="AE368" s="72"/>
      <c r="AF368" s="16" t="str">
        <f>_xlfn.CONCAT(EjecucionHaciendaDiciembre[[#This Row],[NOMBRE_RUBRO]]," - ",EjecucionHaciendaDiciembre[[#This Row],[NOMBRE_RECURSO]])</f>
        <v xml:space="preserve"> - </v>
      </c>
    </row>
    <row r="369" spans="1:32" ht="48" customHeight="1" x14ac:dyDescent="0.3">
      <c r="A369" s="68"/>
      <c r="B369" s="68"/>
      <c r="C369" s="69"/>
      <c r="D369" s="69"/>
      <c r="E369" s="69"/>
      <c r="F369" s="68"/>
      <c r="G369" s="70" t="s">
        <v>399</v>
      </c>
      <c r="H369" s="71" t="s">
        <v>901</v>
      </c>
      <c r="I369" s="72"/>
      <c r="J369" s="72"/>
      <c r="K369" s="72"/>
      <c r="L369" s="72"/>
      <c r="M369" s="72"/>
      <c r="N369" s="72"/>
      <c r="O369" s="72"/>
      <c r="P369" s="72"/>
      <c r="Q369" s="72">
        <v>5526790000</v>
      </c>
      <c r="R369" s="72"/>
      <c r="S369" s="72"/>
      <c r="T369" s="72"/>
      <c r="U369" s="73" t="s">
        <v>904</v>
      </c>
      <c r="V369" s="73"/>
      <c r="W369" s="73" t="s">
        <v>900</v>
      </c>
      <c r="X369" s="73"/>
      <c r="Y369" s="74"/>
      <c r="Z369" s="73"/>
      <c r="AA369" s="73"/>
      <c r="AB369" s="82"/>
      <c r="AC369" s="72"/>
      <c r="AD369" s="72" t="s">
        <v>893</v>
      </c>
      <c r="AE369" s="72"/>
      <c r="AF369" s="16" t="str">
        <f>_xlfn.CONCAT(EjecucionHaciendaDiciembre[[#This Row],[NOMBRE_RUBRO]]," - ",EjecucionHaciendaDiciembre[[#This Row],[NOMBRE_RECURSO]])</f>
        <v xml:space="preserve"> - </v>
      </c>
    </row>
    <row r="370" spans="1:32" ht="42.75" customHeight="1" x14ac:dyDescent="0.3">
      <c r="A370" s="68"/>
      <c r="B370" s="68"/>
      <c r="C370" s="69"/>
      <c r="D370" s="69"/>
      <c r="E370" s="69"/>
      <c r="F370" s="68"/>
      <c r="G370" s="70" t="s">
        <v>399</v>
      </c>
      <c r="H370" s="71" t="s">
        <v>901</v>
      </c>
      <c r="I370" s="72"/>
      <c r="J370" s="72"/>
      <c r="K370" s="72"/>
      <c r="L370" s="72"/>
      <c r="M370" s="72"/>
      <c r="N370" s="72"/>
      <c r="O370" s="72"/>
      <c r="P370" s="72"/>
      <c r="Q370" s="72">
        <v>2429970000</v>
      </c>
      <c r="R370" s="72"/>
      <c r="S370" s="72"/>
      <c r="T370" s="72"/>
      <c r="U370" s="73" t="s">
        <v>905</v>
      </c>
      <c r="V370" s="73"/>
      <c r="W370" s="73" t="s">
        <v>900</v>
      </c>
      <c r="X370" s="73"/>
      <c r="Y370" s="74"/>
      <c r="Z370" s="73"/>
      <c r="AA370" s="73"/>
      <c r="AB370" s="82"/>
      <c r="AC370" s="72"/>
      <c r="AD370" s="72" t="s">
        <v>893</v>
      </c>
      <c r="AE370" s="72"/>
      <c r="AF370" s="16" t="str">
        <f>_xlfn.CONCAT(EjecucionHaciendaDiciembre[[#This Row],[NOMBRE_RUBRO]]," - ",EjecucionHaciendaDiciembre[[#This Row],[NOMBRE_RECURSO]])</f>
        <v xml:space="preserve"> - </v>
      </c>
    </row>
    <row r="371" spans="1:32" ht="42.75" customHeight="1" x14ac:dyDescent="0.3">
      <c r="A371" s="68"/>
      <c r="B371" s="68"/>
      <c r="C371" s="69"/>
      <c r="D371" s="69"/>
      <c r="E371" s="69"/>
      <c r="F371" s="68"/>
      <c r="G371" s="70" t="s">
        <v>399</v>
      </c>
      <c r="H371" s="71" t="s">
        <v>901</v>
      </c>
      <c r="I371" s="72"/>
      <c r="J371" s="72"/>
      <c r="K371" s="72"/>
      <c r="L371" s="72"/>
      <c r="M371" s="72"/>
      <c r="N371" s="72"/>
      <c r="O371" s="72"/>
      <c r="P371" s="72"/>
      <c r="Q371" s="72">
        <v>3100920000</v>
      </c>
      <c r="R371" s="72"/>
      <c r="S371" s="72"/>
      <c r="T371" s="72"/>
      <c r="U371" s="73" t="s">
        <v>906</v>
      </c>
      <c r="V371" s="73"/>
      <c r="W371" s="73" t="s">
        <v>900</v>
      </c>
      <c r="X371" s="73"/>
      <c r="Y371" s="74"/>
      <c r="Z371" s="73"/>
      <c r="AA371" s="73"/>
      <c r="AB371" s="82"/>
      <c r="AC371" s="72"/>
      <c r="AD371" s="72" t="s">
        <v>851</v>
      </c>
      <c r="AE371" s="72"/>
      <c r="AF371" s="16" t="str">
        <f>_xlfn.CONCAT(EjecucionHaciendaDiciembre[[#This Row],[NOMBRE_RUBRO]]," - ",EjecucionHaciendaDiciembre[[#This Row],[NOMBRE_RECURSO]])</f>
        <v xml:space="preserve"> - </v>
      </c>
    </row>
    <row r="372" spans="1:32" ht="42.75" customHeight="1" x14ac:dyDescent="0.3">
      <c r="A372" s="46"/>
      <c r="B372" s="46"/>
      <c r="C372" s="75"/>
      <c r="D372" s="75"/>
      <c r="E372" s="75"/>
      <c r="F372" s="46"/>
      <c r="G372" s="70" t="s">
        <v>399</v>
      </c>
      <c r="H372" s="71" t="s">
        <v>901</v>
      </c>
      <c r="I372" s="16"/>
      <c r="J372" s="16"/>
      <c r="K372" s="16"/>
      <c r="L372" s="16"/>
      <c r="M372" s="16"/>
      <c r="N372" s="16"/>
      <c r="O372" s="16"/>
      <c r="P372" s="16"/>
      <c r="Q372" s="16">
        <v>8131000000</v>
      </c>
      <c r="R372" s="16"/>
      <c r="S372" s="16"/>
      <c r="T372" s="16"/>
      <c r="U372" s="17" t="s">
        <v>907</v>
      </c>
      <c r="V372" s="17"/>
      <c r="W372" s="73" t="s">
        <v>900</v>
      </c>
      <c r="X372" s="17"/>
      <c r="Y372" s="15"/>
      <c r="Z372" s="17"/>
      <c r="AA372" s="17"/>
      <c r="AB372" s="81"/>
      <c r="AC372" s="16"/>
      <c r="AD372" s="72" t="s">
        <v>893</v>
      </c>
      <c r="AE372" s="16"/>
      <c r="AF372" s="16" t="str">
        <f>_xlfn.CONCAT(EjecucionHaciendaDiciembre[[#This Row],[NOMBRE_RUBRO]]," - ",EjecucionHaciendaDiciembre[[#This Row],[NOMBRE_RECURSO]])</f>
        <v xml:space="preserve"> - </v>
      </c>
    </row>
    <row r="373" spans="1:32" ht="42.75" customHeight="1" x14ac:dyDescent="0.3">
      <c r="A373" s="46"/>
      <c r="B373" s="46"/>
      <c r="C373" s="75"/>
      <c r="D373" s="75"/>
      <c r="E373" s="75"/>
      <c r="F373" s="46"/>
      <c r="G373" s="70" t="s">
        <v>399</v>
      </c>
      <c r="H373" s="71" t="s">
        <v>901</v>
      </c>
      <c r="I373" s="16"/>
      <c r="J373" s="16"/>
      <c r="K373" s="16"/>
      <c r="L373" s="16"/>
      <c r="M373" s="16"/>
      <c r="N373" s="16"/>
      <c r="O373" s="16"/>
      <c r="P373" s="16"/>
      <c r="Q373" s="16">
        <v>214490000</v>
      </c>
      <c r="R373" s="16"/>
      <c r="S373" s="16"/>
      <c r="T373" s="16"/>
      <c r="U373" s="17" t="s">
        <v>908</v>
      </c>
      <c r="V373" s="17"/>
      <c r="W373" s="73" t="s">
        <v>900</v>
      </c>
      <c r="X373" s="17"/>
      <c r="Y373" s="15"/>
      <c r="Z373" s="17"/>
      <c r="AA373" s="17"/>
      <c r="AB373" s="81"/>
      <c r="AC373" s="16"/>
      <c r="AD373" s="72" t="s">
        <v>903</v>
      </c>
      <c r="AE373" s="16"/>
      <c r="AF373" s="16" t="str">
        <f>_xlfn.CONCAT(EjecucionHaciendaDiciembre[[#This Row],[NOMBRE_RUBRO]]," - ",EjecucionHaciendaDiciembre[[#This Row],[NOMBRE_RECURSO]])</f>
        <v xml:space="preserve"> - </v>
      </c>
    </row>
    <row r="374" spans="1:32" ht="42.75" customHeight="1" x14ac:dyDescent="0.3">
      <c r="A374" s="46"/>
      <c r="B374" s="46"/>
      <c r="C374" s="75"/>
      <c r="D374" s="75"/>
      <c r="E374" s="75"/>
      <c r="F374" s="46"/>
      <c r="G374" s="70" t="s">
        <v>399</v>
      </c>
      <c r="H374" s="71" t="s">
        <v>901</v>
      </c>
      <c r="I374" s="16"/>
      <c r="J374" s="16"/>
      <c r="K374" s="16"/>
      <c r="L374" s="16"/>
      <c r="M374" s="16"/>
      <c r="N374" s="16"/>
      <c r="O374" s="16"/>
      <c r="P374" s="16"/>
      <c r="Q374" s="16">
        <v>6754430000</v>
      </c>
      <c r="R374" s="16"/>
      <c r="S374" s="16"/>
      <c r="T374" s="16"/>
      <c r="U374" s="17" t="s">
        <v>908</v>
      </c>
      <c r="V374" s="17"/>
      <c r="W374" s="73" t="s">
        <v>900</v>
      </c>
      <c r="X374" s="17"/>
      <c r="Y374" s="15"/>
      <c r="Z374" s="17"/>
      <c r="AA374" s="17"/>
      <c r="AB374" s="81"/>
      <c r="AC374" s="16"/>
      <c r="AD374" s="16" t="s">
        <v>893</v>
      </c>
      <c r="AE374" s="16"/>
      <c r="AF374" s="16" t="str">
        <f>_xlfn.CONCAT(EjecucionHaciendaDiciembre[[#This Row],[NOMBRE_RUBRO]]," - ",EjecucionHaciendaDiciembre[[#This Row],[NOMBRE_RECURSO]])</f>
        <v xml:space="preserve"> - </v>
      </c>
    </row>
    <row r="375" spans="1:32" ht="42.75" customHeight="1" x14ac:dyDescent="0.3">
      <c r="A375" s="46"/>
      <c r="B375" s="46"/>
      <c r="C375" s="75"/>
      <c r="D375" s="75"/>
      <c r="E375" s="75"/>
      <c r="F375" s="46"/>
      <c r="G375" s="70" t="s">
        <v>399</v>
      </c>
      <c r="H375" s="71" t="s">
        <v>901</v>
      </c>
      <c r="I375" s="16"/>
      <c r="J375" s="16"/>
      <c r="K375" s="16"/>
      <c r="L375" s="16"/>
      <c r="M375" s="16"/>
      <c r="N375" s="16"/>
      <c r="O375" s="16"/>
      <c r="P375" s="16"/>
      <c r="Q375" s="16">
        <v>1233690000</v>
      </c>
      <c r="R375" s="16"/>
      <c r="S375" s="16"/>
      <c r="T375" s="16"/>
      <c r="U375" s="17" t="s">
        <v>909</v>
      </c>
      <c r="V375" s="17"/>
      <c r="W375" s="73" t="s">
        <v>900</v>
      </c>
      <c r="X375" s="17"/>
      <c r="Y375" s="15"/>
      <c r="Z375" s="17"/>
      <c r="AA375" s="17"/>
      <c r="AB375" s="81"/>
      <c r="AC375" s="16"/>
      <c r="AD375" s="16" t="s">
        <v>893</v>
      </c>
      <c r="AE375" s="16"/>
      <c r="AF375" s="16" t="str">
        <f>_xlfn.CONCAT(EjecucionHaciendaDiciembre[[#This Row],[NOMBRE_RUBRO]]," - ",EjecucionHaciendaDiciembre[[#This Row],[NOMBRE_RECURSO]])</f>
        <v xml:space="preserve"> - </v>
      </c>
    </row>
    <row r="376" spans="1:32" ht="42.75" customHeight="1" x14ac:dyDescent="0.3">
      <c r="A376" s="46"/>
      <c r="B376" s="46"/>
      <c r="C376" s="75"/>
      <c r="D376" s="75"/>
      <c r="E376" s="75"/>
      <c r="F376" s="46"/>
      <c r="G376" s="76" t="s">
        <v>415</v>
      </c>
      <c r="H376" s="14" t="s">
        <v>910</v>
      </c>
      <c r="I376" s="16"/>
      <c r="J376" s="16"/>
      <c r="K376" s="16"/>
      <c r="L376" s="16"/>
      <c r="M376" s="16"/>
      <c r="N376" s="16"/>
      <c r="O376" s="16"/>
      <c r="P376" s="16"/>
      <c r="Q376" s="16">
        <v>15600000000</v>
      </c>
      <c r="R376" s="16"/>
      <c r="S376" s="16"/>
      <c r="T376" s="16"/>
      <c r="U376" s="17" t="s">
        <v>651</v>
      </c>
      <c r="V376" s="17"/>
      <c r="W376" s="73" t="s">
        <v>894</v>
      </c>
      <c r="X376" s="17"/>
      <c r="Y376" s="15"/>
      <c r="Z376" s="17"/>
      <c r="AA376" s="17"/>
      <c r="AB376" s="81"/>
      <c r="AC376" s="16"/>
      <c r="AD376" s="16" t="s">
        <v>911</v>
      </c>
      <c r="AE376" s="16"/>
      <c r="AF376" s="16" t="str">
        <f>_xlfn.CONCAT(EjecucionHaciendaDiciembre[[#This Row],[NOMBRE_RUBRO]]," - ",EjecucionHaciendaDiciembre[[#This Row],[NOMBRE_RECURSO]])</f>
        <v xml:space="preserve"> - </v>
      </c>
    </row>
    <row r="377" spans="1:32" ht="42.75" customHeight="1" x14ac:dyDescent="0.3">
      <c r="A377" s="46"/>
      <c r="B377" s="46"/>
      <c r="C377" s="75"/>
      <c r="D377" s="75"/>
      <c r="E377" s="75"/>
      <c r="F377" s="46"/>
      <c r="G377" s="76" t="s">
        <v>399</v>
      </c>
      <c r="H377" s="14" t="s">
        <v>912</v>
      </c>
      <c r="I377" s="16"/>
      <c r="J377" s="16"/>
      <c r="K377" s="16"/>
      <c r="L377" s="16"/>
      <c r="M377" s="16"/>
      <c r="N377" s="16"/>
      <c r="O377" s="16"/>
      <c r="P377" s="16"/>
      <c r="Q377" s="16">
        <v>729920507</v>
      </c>
      <c r="R377" s="16"/>
      <c r="S377" s="16"/>
      <c r="T377" s="16"/>
      <c r="U377" s="17" t="s">
        <v>913</v>
      </c>
      <c r="V377" s="17"/>
      <c r="W377" s="73" t="s">
        <v>900</v>
      </c>
      <c r="X377" s="17"/>
      <c r="Y377" s="15"/>
      <c r="Z377" s="17"/>
      <c r="AA377" s="17"/>
      <c r="AB377" s="81"/>
      <c r="AC377" s="16"/>
      <c r="AD377" s="16" t="s">
        <v>911</v>
      </c>
      <c r="AE377" s="16"/>
      <c r="AF377" s="16" t="str">
        <f>_xlfn.CONCAT(EjecucionHaciendaDiciembre[[#This Row],[NOMBRE_RUBRO]]," - ",EjecucionHaciendaDiciembre[[#This Row],[NOMBRE_RECURSO]])</f>
        <v xml:space="preserve"> - </v>
      </c>
    </row>
    <row r="378" spans="1:32" ht="52.5" customHeight="1" x14ac:dyDescent="0.3">
      <c r="A378" s="46"/>
      <c r="B378" s="46"/>
      <c r="C378" s="75"/>
      <c r="D378" s="75"/>
      <c r="E378" s="75"/>
      <c r="F378" s="46"/>
      <c r="G378" s="76" t="s">
        <v>399</v>
      </c>
      <c r="H378" s="14" t="s">
        <v>914</v>
      </c>
      <c r="I378" s="16"/>
      <c r="J378" s="16"/>
      <c r="K378" s="16"/>
      <c r="L378" s="16"/>
      <c r="M378" s="16"/>
      <c r="N378" s="16"/>
      <c r="O378" s="16"/>
      <c r="P378" s="16"/>
      <c r="Q378" s="16">
        <v>83455491.25</v>
      </c>
      <c r="R378" s="16"/>
      <c r="S378" s="16"/>
      <c r="T378" s="16"/>
      <c r="U378" s="17" t="s">
        <v>645</v>
      </c>
      <c r="V378" s="17"/>
      <c r="W378" s="73" t="s">
        <v>900</v>
      </c>
      <c r="X378" s="17"/>
      <c r="Y378" s="15"/>
      <c r="Z378" s="17"/>
      <c r="AA378" s="17"/>
      <c r="AB378" s="81"/>
      <c r="AC378" s="16"/>
      <c r="AD378" s="16" t="s">
        <v>10</v>
      </c>
      <c r="AE378" s="16"/>
      <c r="AF378" s="16" t="str">
        <f>_xlfn.CONCAT(EjecucionHaciendaDiciembre[[#This Row],[NOMBRE_RUBRO]]," - ",EjecucionHaciendaDiciembre[[#This Row],[NOMBRE_RECURSO]])</f>
        <v xml:space="preserve"> - </v>
      </c>
    </row>
    <row r="379" spans="1:32" ht="44.25" customHeight="1" x14ac:dyDescent="0.3">
      <c r="A379" s="46"/>
      <c r="B379" s="46"/>
      <c r="C379" s="75"/>
      <c r="D379" s="75"/>
      <c r="E379" s="75"/>
      <c r="F379" s="46"/>
      <c r="G379" s="76" t="s">
        <v>399</v>
      </c>
      <c r="H379" s="14" t="s">
        <v>914</v>
      </c>
      <c r="I379" s="16"/>
      <c r="J379" s="16"/>
      <c r="K379" s="16"/>
      <c r="L379" s="16"/>
      <c r="M379" s="16"/>
      <c r="N379" s="16"/>
      <c r="O379" s="16"/>
      <c r="P379" s="16"/>
      <c r="Q379" s="16">
        <v>7151471797.5</v>
      </c>
      <c r="R379" s="16"/>
      <c r="S379" s="16"/>
      <c r="T379" s="16"/>
      <c r="U379" s="17" t="s">
        <v>915</v>
      </c>
      <c r="V379" s="17"/>
      <c r="W379" s="73" t="s">
        <v>900</v>
      </c>
      <c r="X379" s="17"/>
      <c r="Y379" s="15"/>
      <c r="Z379" s="17"/>
      <c r="AA379" s="17"/>
      <c r="AB379" s="81"/>
      <c r="AC379" s="16"/>
      <c r="AD379" s="16" t="s">
        <v>893</v>
      </c>
      <c r="AE379" s="16"/>
      <c r="AF379" s="16" t="str">
        <f>_xlfn.CONCAT(EjecucionHaciendaDiciembre[[#This Row],[NOMBRE_RUBRO]]," - ",EjecucionHaciendaDiciembre[[#This Row],[NOMBRE_RECURSO]])</f>
        <v xml:space="preserve"> - </v>
      </c>
    </row>
    <row r="380" spans="1:32" ht="44.25" customHeight="1" x14ac:dyDescent="0.3">
      <c r="A380" s="46"/>
      <c r="B380" s="46"/>
      <c r="C380" s="75"/>
      <c r="D380" s="75"/>
      <c r="E380" s="75"/>
      <c r="F380" s="46"/>
      <c r="G380" s="76" t="s">
        <v>399</v>
      </c>
      <c r="H380" s="14" t="s">
        <v>914</v>
      </c>
      <c r="I380" s="16"/>
      <c r="J380" s="16"/>
      <c r="K380" s="16"/>
      <c r="L380" s="16"/>
      <c r="M380" s="16"/>
      <c r="N380" s="16"/>
      <c r="O380" s="16"/>
      <c r="P380" s="16"/>
      <c r="Q380" s="16">
        <v>356411889.49000001</v>
      </c>
      <c r="R380" s="16"/>
      <c r="S380" s="16"/>
      <c r="T380" s="16"/>
      <c r="U380" s="17" t="s">
        <v>643</v>
      </c>
      <c r="V380" s="17"/>
      <c r="W380" s="73" t="s">
        <v>900</v>
      </c>
      <c r="X380" s="17"/>
      <c r="Y380" s="15"/>
      <c r="Z380" s="17"/>
      <c r="AA380" s="17"/>
      <c r="AB380" s="81"/>
      <c r="AC380" s="16"/>
      <c r="AD380" s="16" t="s">
        <v>10</v>
      </c>
      <c r="AE380" s="16"/>
      <c r="AF380" s="72" t="str">
        <f>_xlfn.CONCAT(EjecucionHaciendaDiciembre[[#This Row],[NOMBRE_RUBRO]]," - ",EjecucionHaciendaDiciembre[[#This Row],[NOMBRE_RECURSO]])</f>
        <v xml:space="preserve"> - </v>
      </c>
    </row>
    <row r="381" spans="1:32" ht="15" customHeight="1" x14ac:dyDescent="0.3">
      <c r="A381" s="68"/>
      <c r="B381" s="68"/>
      <c r="C381" s="69"/>
      <c r="D381" s="69"/>
      <c r="E381" s="69"/>
      <c r="F381" s="68"/>
      <c r="G381" s="70"/>
      <c r="H381" s="71"/>
      <c r="I381" s="72"/>
      <c r="J381" s="72"/>
      <c r="K381" s="72"/>
      <c r="L381" s="72"/>
      <c r="M381" s="72"/>
      <c r="N381" s="72"/>
      <c r="O381" s="72"/>
      <c r="P381" s="72">
        <f>SUM(P141+P144+P150)</f>
        <v>5115688895.1100006</v>
      </c>
      <c r="Q381" s="72">
        <f>(Q141+Q144+Q150)</f>
        <v>5109388895.1100006</v>
      </c>
      <c r="R381" s="72"/>
      <c r="S381" s="72"/>
      <c r="T381" s="72"/>
      <c r="U381" s="73"/>
      <c r="V381" s="73"/>
      <c r="W381" s="73"/>
      <c r="X381" s="73"/>
      <c r="Y381" s="74"/>
      <c r="Z381" s="73"/>
      <c r="AA381" s="73"/>
      <c r="AB381" s="82"/>
      <c r="AC381" s="72"/>
      <c r="AD381" s="72"/>
      <c r="AE381" s="72"/>
      <c r="AF381" s="72"/>
    </row>
    <row r="382" spans="1:32" ht="15" customHeight="1" x14ac:dyDescent="0.3">
      <c r="Q382" s="91">
        <f>SUM(Q10,Q13,Q15,Q16,Q17,Q18,Q20,Q21,Q22,Q24,Q25,Q27,Q29,Q30,Q31,Q32,Q33,Q34,Q35,Q36,Q39,Q40,Q41,Q42,Q43)</f>
        <v>690566695197</v>
      </c>
    </row>
    <row r="384" spans="1:32" ht="15" customHeight="1" x14ac:dyDescent="0.3">
      <c r="R384" s="78"/>
    </row>
    <row r="386" spans="15:17" ht="15" customHeight="1" x14ac:dyDescent="0.3">
      <c r="Q386" s="78"/>
    </row>
    <row r="391" spans="15:17" ht="15" customHeight="1" x14ac:dyDescent="0.3">
      <c r="O391" s="79" t="s">
        <v>790</v>
      </c>
      <c r="P391" s="80">
        <v>203041107117</v>
      </c>
    </row>
  </sheetData>
  <mergeCells count="6">
    <mergeCell ref="AI9:AM9"/>
    <mergeCell ref="AI4:AM4"/>
    <mergeCell ref="AI5:AM5"/>
    <mergeCell ref="AI6:AM6"/>
    <mergeCell ref="AI7:AM7"/>
    <mergeCell ref="AI8:AM8"/>
  </mergeCells>
  <phoneticPr fontId="2"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01762B0BE6F124C893C4EBC44405419" ma:contentTypeVersion="18" ma:contentTypeDescription="Crear nuevo documento." ma:contentTypeScope="" ma:versionID="b85f8b08dd6b3a7601aa1850424305e8">
  <xsd:schema xmlns:xsd="http://www.w3.org/2001/XMLSchema" xmlns:xs="http://www.w3.org/2001/XMLSchema" xmlns:p="http://schemas.microsoft.com/office/2006/metadata/properties" xmlns:ns2="261184d8-2b3a-4883-866a-c5a488a58b3a" xmlns:ns3="0faf4f6a-479e-439d-948b-a440ba86a10a" targetNamespace="http://schemas.microsoft.com/office/2006/metadata/properties" ma:root="true" ma:fieldsID="b99f30fd4c78391c6e791803f770fd5b" ns2:_="" ns3:_="">
    <xsd:import namespace="261184d8-2b3a-4883-866a-c5a488a58b3a"/>
    <xsd:import namespace="0faf4f6a-479e-439d-948b-a440ba86a10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AutoKeyPoints" minOccurs="0"/>
                <xsd:element ref="ns3:MediaServiceKeyPoints" minOccurs="0"/>
                <xsd:element ref="ns3:MediaServiceDateTaken" minOccurs="0"/>
                <xsd:element ref="ns3:MediaServiceLocation"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1184d8-2b3a-4883-866a-c5a488a58b3a"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19" nillable="true" ma:displayName="Taxonomy Catch All Column" ma:hidden="true" ma:list="{2b1876b0-5c48-4be0-b540-71b7a5eebd51}" ma:internalName="TaxCatchAll" ma:showField="CatchAllData" ma:web="261184d8-2b3a-4883-866a-c5a488a58b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faf4f6a-479e-439d-948b-a440ba86a10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Etiquetas de imagen" ma:readOnly="false" ma:fieldId="{5cf76f15-5ced-4ddc-b409-7134ff3c332f}" ma:taxonomyMulti="true" ma:sspId="038cc294-940b-4409-8b22-07835bb32768" ma:termSetId="09814cd3-568e-fe90-9814-8d621ff8fb84" ma:anchorId="fba54fb3-c3e1-fe81-a776-ca4b69148c4d" ma:open="true" ma:isKeyword="false">
      <xsd:complexType>
        <xsd:sequence>
          <xsd:element ref="pc:Terms" minOccurs="0" maxOccurs="1"/>
        </xsd:sequence>
      </xsd:complex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DateTaken" ma:index="22" nillable="true" ma:displayName="MediaServiceDateTaken" ma:hidden="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61184d8-2b3a-4883-866a-c5a488a58b3a" xsi:nil="true"/>
    <lcf76f155ced4ddcb4097134ff3c332f xmlns="0faf4f6a-479e-439d-948b-a440ba86a10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7BDF4FD-CBDD-4459-B626-2AF1619056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1184d8-2b3a-4883-866a-c5a488a58b3a"/>
    <ds:schemaRef ds:uri="0faf4f6a-479e-439d-948b-a440ba86a1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FEF839-3220-477E-A2F0-92610F2C379A}">
  <ds:schemaRefs>
    <ds:schemaRef ds:uri="http://schemas.microsoft.com/office/2006/metadata/properties"/>
    <ds:schemaRef ds:uri="http://schemas.microsoft.com/office/infopath/2007/PartnerControls"/>
    <ds:schemaRef ds:uri="261184d8-2b3a-4883-866a-c5a488a58b3a"/>
    <ds:schemaRef ds:uri="0faf4f6a-479e-439d-948b-a440ba86a10a"/>
  </ds:schemaRefs>
</ds:datastoreItem>
</file>

<file path=customXml/itemProps3.xml><?xml version="1.0" encoding="utf-8"?>
<ds:datastoreItem xmlns:ds="http://schemas.openxmlformats.org/officeDocument/2006/customXml" ds:itemID="{F0B3178A-A850-42A0-9F0A-496024E55E7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Hacienda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PC63-2024</dc:creator>
  <cp:lastModifiedBy>Proyectos</cp:lastModifiedBy>
  <dcterms:created xsi:type="dcterms:W3CDTF">2025-01-10T18:56:11Z</dcterms:created>
  <dcterms:modified xsi:type="dcterms:W3CDTF">2026-03-19T21:09:39Z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ProgID">
    <vt:lpwstr/>
  </property>
  <property fmtid="{D5CDD505-2E9C-101B-9397-08002B2CF9AE}" pid="3" name="MediaServiceImageTags">
    <vt:lpwstr/>
  </property>
  <property fmtid="{D5CDD505-2E9C-101B-9397-08002B2CF9AE}" pid="4" name="ContentTypeId">
    <vt:lpwstr>0x010100A01762B0BE6F124C893C4EBC44405419</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