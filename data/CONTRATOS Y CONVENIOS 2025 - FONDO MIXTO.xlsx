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CER\Documents\MEGA\Reportes\plan_indicativo\reportes\Reporte Avance Ejecucion PI\Informes Financieros\FONDO MIXTO\"/>
    </mc:Choice>
  </mc:AlternateContent>
  <xr:revisionPtr revIDLastSave="0" documentId="13_ncr:1_{5B9E31CF-32A8-44E5-BA36-B1FD20D9A60F}" xr6:coauthVersionLast="47" xr6:coauthVersionMax="47" xr10:uidLastSave="{00000000-0000-0000-0000-000000000000}"/>
  <bookViews>
    <workbookView xWindow="-108" yWindow="-108" windowWidth="23256" windowHeight="12456" activeTab="1" xr2:uid="{62874EF5-B192-4943-BAEE-08A53272715D}"/>
  </bookViews>
  <sheets>
    <sheet name="CONTRATOS 2025" sheetId="1" r:id="rId1"/>
    <sheet name="METAS-FUENTES-VALOR" sheetId="4" r:id="rId2"/>
    <sheet name="CONVENIOS 2025" sheetId="2" r:id="rId3"/>
    <sheet name="CONVENIOS INTER ADMI" sheetId="3" r:id="rId4"/>
  </sheets>
  <definedNames>
    <definedName name="_Hlk180052079" localSheetId="2">'CONVENIOS 2025'!$B$11</definedName>
    <definedName name="_Hlk185319858" localSheetId="0">'CONTRATOS 2025'!$C$67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 i="1" l="1"/>
</calcChain>
</file>

<file path=xl/sharedStrings.xml><?xml version="1.0" encoding="utf-8"?>
<sst xmlns="http://schemas.openxmlformats.org/spreadsheetml/2006/main" count="934" uniqueCount="481">
  <si>
    <t xml:space="preserve">N° DE CONTRATO </t>
  </si>
  <si>
    <t xml:space="preserve">NOMBRE </t>
  </si>
  <si>
    <t xml:space="preserve">OBJETO </t>
  </si>
  <si>
    <t xml:space="preserve"> PRESUPUESTO MENSUAL</t>
  </si>
  <si>
    <t>DURACION</t>
  </si>
  <si>
    <t xml:space="preserve">ANIANO CANTILLO </t>
  </si>
  <si>
    <t>12 MESES</t>
  </si>
  <si>
    <t>01-02-01-2023</t>
  </si>
  <si>
    <t>JOSE DEL TRANSITO MEDINA</t>
  </si>
  <si>
    <t xml:space="preserve">CONTADOR </t>
  </si>
  <si>
    <t>02-06-01-2023</t>
  </si>
  <si>
    <t xml:space="preserve">FIORELLA SUAREZ </t>
  </si>
  <si>
    <t>AUXILIAR ADMINISTRATIVO - SERVICIOS GENERALES</t>
  </si>
  <si>
    <t>04-10-01-2023</t>
  </si>
  <si>
    <t xml:space="preserve">LUCILA BULA </t>
  </si>
  <si>
    <t xml:space="preserve">AUXILIAR ADMINISTRATIVO </t>
  </si>
  <si>
    <t>05-01-02-2023</t>
  </si>
  <si>
    <t>GLORIA ANDREA SANCHEZ SALAZAR</t>
  </si>
  <si>
    <t>ENLACE DEPARTAMENTAL DE CULTURA</t>
  </si>
  <si>
    <t>11 MESES</t>
  </si>
  <si>
    <t xml:space="preserve"> 01-02-01-2024</t>
  </si>
  <si>
    <t xml:space="preserve">KATIA LUCIA ROMERO IRIARTE </t>
  </si>
  <si>
    <t>GERENTE</t>
  </si>
  <si>
    <t>INDEFINIDO</t>
  </si>
  <si>
    <t>02-21-03-2024</t>
  </si>
  <si>
    <t>MERLYS GARCIA ARRIETA</t>
  </si>
  <si>
    <t>DIRECTORA ADMINISTRATIVA Y FINANCIERA</t>
  </si>
  <si>
    <t>9 MESES Y 11 DÍAS</t>
  </si>
  <si>
    <t>PRESTACION DE SERVICIOS PROFESIONALES PARA EJERCER COMO REVISOR FISCAL DEL FONDO MIXTO DE PROMOCION DE LA CULTURA Y LAS ARTES DE SUCRE</t>
  </si>
  <si>
    <t>KATERINE ISABEL VIVERO HERNANDEZ</t>
  </si>
  <si>
    <t>JESUS DANIEL BADEL PEREZ</t>
  </si>
  <si>
    <t>JOSE DANIEL BARRETO BARRIOS</t>
  </si>
  <si>
    <t>11 MESES Y 15 DIAS</t>
  </si>
  <si>
    <t>PRESTACIÓN DE SERVICIOS PROFESIONALES COMO ABOGADO PARA BRINDAR APOYO EN LA REVISION JURIDICA Y LEGAL EN EL MARCO DEL PROYECTO DE FORTALECIMIENTO A FESTIVALES, ENCUENTROS CULTURALES, ARTÍSTICOS Y PATRIMONIALES, CARNAVALES FIESTAS Y FERIAS TRADICIONALES PARA EL 2025 EN EL DEPARTAMENTO DE SUCRE</t>
  </si>
  <si>
    <t>FABIAN ALBERTO HERNANDEZ GAMARRA</t>
  </si>
  <si>
    <t>01-02-01-2025</t>
  </si>
  <si>
    <t>02-02-01-2025</t>
  </si>
  <si>
    <t>03-02-01-2025</t>
  </si>
  <si>
    <t>04-02-01-2025</t>
  </si>
  <si>
    <t>05-02-01-2025</t>
  </si>
  <si>
    <t>PRESTACIÓN DE SERVICIOS PROFESIONALES COMO COMUNICADOR SOCIAL Y PERIODISTA PARA DESARROLLAR UNA ESTRATEGIA INTEGRAL DE COMUNICACIONES EN EL MARCO DEL PROYECTO DE FORTALECIMIENTO A FESTIVALES, ENCUENTROS CULTURALES, ARTÍSTICOS Y PATRIMONIALES, CARNAVALES FIESTAS Y FERIAS TRADICIONALES PARA EL 2025 EN EL DEPARTAMENTO DE SUCRE.</t>
  </si>
  <si>
    <t>PRESTACIÓN DE SERVICIOS PROFESIONALES COMO INGENIERO INDUSTRIAL PARA BRINDAR APOYO A LA SUPERVISION DEL PROYECTO DE FORTALECIMIENTO A FESTIVALES, ENCUENTROS CULTURALES, ARTÍSTICOS Y PATRIMONIALES, CARNAVALES FIESTAS Y FERIAS TRADICIONALES PARA EL 2025 EN EL DEPARTAMENTO DE SUCRE.</t>
  </si>
  <si>
    <t>1 MES</t>
  </si>
  <si>
    <t>06-02-01-2025</t>
  </si>
  <si>
    <t>PAUL ALFONSO PERIÑAN</t>
  </si>
  <si>
    <t xml:space="preserve">PRESTACION DE SERVICIOS PROFESIONALES DE ABOGADO ESPECIALIZADO PARA BRINDAR ASESORÍA JURIDICA Y DEFENSA JUDICIAL AL FONDO MIXTO DE PROMOCION DE LA CULTURA Y LAS ARTES DE SUCRE. </t>
  </si>
  <si>
    <t>ESTUDIO PREVIO</t>
  </si>
  <si>
    <t>OK IMPRESO</t>
  </si>
  <si>
    <t>PRESTACION DE SERVICIOS PROFESIONALES COMO COORDINADOR DE LAS LABORES RELACIONADAS A LA ADMINISTRACION Y OPERACIÓN EN EL MARCO DEL PROYECTO DE FORTALECIMIENTO A FESTIVALES, ENCUENTROS CULTURALES, ARTÍSTICOS Y PATRIMONIALES, CARNAVALES FIESTAS Y FERIAS TRADICIONALES PARA EL 2025 EN EL DEPARTAMENTO DE SUCRE</t>
  </si>
  <si>
    <t>N° DE CONVENIO</t>
  </si>
  <si>
    <t>EJECUTOR</t>
  </si>
  <si>
    <t xml:space="preserve"> PRESUPUESTO FONDO </t>
  </si>
  <si>
    <t xml:space="preserve">BENEFICIADOS </t>
  </si>
  <si>
    <t>TIPO DE POBLACION</t>
  </si>
  <si>
    <t>MUNICIPIO</t>
  </si>
  <si>
    <t xml:space="preserve">FECHA DE INICIO </t>
  </si>
  <si>
    <t xml:space="preserve">FECHA DE FINALIZACIÓN </t>
  </si>
  <si>
    <t>CORPORACIÓN MIXTA DE GESTIÓN CULTURAL CUADROS VIVOS DE GALERAS</t>
  </si>
  <si>
    <t>GENERAL</t>
  </si>
  <si>
    <t>GALERAS</t>
  </si>
  <si>
    <t>01-03-01-2025</t>
  </si>
  <si>
    <t>AUNAR ESFUERZOS PARA LA REALIZACION DEL ESCENARIO A CIELO ABIERTO, SUCRE UN CUADRO VIVO EN EL MARCO DE LA XXXVII VERSION DEL FESTIVAL FOLCLORICO DE LA ALGARROBA QUE SE REALIZARÁ EN EL MUNICIPO DE GALERAS, SUCRE</t>
  </si>
  <si>
    <t>NUVA S.A.S</t>
  </si>
  <si>
    <t xml:space="preserve">PRESTACION DE SERVICIO PARA LA ACTIVACION Y/O RENOVACION DE LICENCIAS DE GOOGLE WORKSPACE PARA EL FONDO MIXTO DE PROMOCION DE LA CULTURA Y LAS ARTES DE SUCRE </t>
  </si>
  <si>
    <t>07-21-01-2025</t>
  </si>
  <si>
    <t>08-31-01-2025</t>
  </si>
  <si>
    <t>JOSE FRANCISCO BERRIO PEREZ (ZICO BERRIO)</t>
  </si>
  <si>
    <t>09-03-02-2025</t>
  </si>
  <si>
    <t>UN DIA</t>
  </si>
  <si>
    <t>PRESTACIÓN DE SERVICIOS ARTISTICOS DE SHOW MUSICAL EN APOYO AL DESARROLLO DE LAS FESTIVIDADES CULTURALES QUE SE LLEVARA A CABO EN EL MUNICIPIO DE LOS PALMITOS SUCRE</t>
  </si>
  <si>
    <t>PRESTACIÓN DE SERVICIOS ARTISTICOS DE SHOW MUSICAL EN APOYO AL DESARROLLO DE LAS FESTIVIDADES CULTURALES QUE SE LLEVARAN A CABO EN EL MUNICIPIO DE MORROA SUCRE</t>
  </si>
  <si>
    <t>CORPORACION ACADEMIA INTEGRAL DE ARTE DANZA Y MUSICA - DANZAMUS</t>
  </si>
  <si>
    <t>10-05-02-2025</t>
  </si>
  <si>
    <t xml:space="preserve">FABIAN ALBERTO HERNÁNDEZ GAMARRA </t>
  </si>
  <si>
    <t>PRESTACIÓN DE SERVICIOS PROFESIONALES ESPECIALIZADO EN EL ÁREA JURÍDICA EN EL MARCO DEL PROYECTO DE FORTALECIMIENTO AL SECTOR CULTURAL EN EL DEPARTAMENTO DE SUCRE Y EN EL FONDO MIXTO DE PROMOCIÓN DE LA CULTURA Y LAS ARTES DE SUCRE</t>
  </si>
  <si>
    <t>NUEVE MESES</t>
  </si>
  <si>
    <t>JOSE YAMIL FERNANDEZ CABALLERO</t>
  </si>
  <si>
    <t>PRESTACION DE SERVICIOS PROFESIONALES CON EXPERIENCIA EN FOMENTO CULTURAL EN EL MARCO DEL PROYECTO DE FORTALECIMIENTO AL SECTOR CULTURAL EN EL DEPARTAMENTO DE SUCRE Y EN EL FONDO MIXTO DE PROMOCIÓN DE LA CULTURA Y LAS ARTES DE SUCRE</t>
  </si>
  <si>
    <t>TANIA ROSA BLANCO TABOADA</t>
  </si>
  <si>
    <t>PRESTACIÓN DE SERVICIOS PROFESIONALES CON EXPERIENCIA EN ARTES EN EL MARCO DEL PROYECTO DE FORTALECIMIENTO AL SECTOR CULTURAL EN EL DEPARTAMENTO DE SUCRE Y EN EL FONDO MIXTO DE PROMOCIÓN DE LA CULTURA Y LAS ARTES DE SUCRE</t>
  </si>
  <si>
    <t>MARTHA PATRICIA CASTRO ALEAN</t>
  </si>
  <si>
    <t>PRESTACION DE SERVICIOS PROFESIONALES CON EXPERIENCIA EN PATRIMONIO CULTURAL EN EL MARCO DEL PROYECTO DE FORTALECIMIENTO AL SECTOR CULTURAL EN EL DEPARTAMENTO DE SUCRE Y EN EL FONDO MIXTO DE PROMOCIÓN DE LA CULTURA Y LAS ARTES DE SUCRE</t>
  </si>
  <si>
    <t xml:space="preserve">DORKY MILENA SARMIENTO ESCOBAR </t>
  </si>
  <si>
    <t>PRESTACIÓN DE SERVICIOS PROFESIONALES CON EXPERIENCIA EN PROCESOS DE PROMOCIÓN DE LECTURA, GESTIÓN BIBLIOTECARIA Y COORDINACIÓN DE REDES DE BIBLIOTECAS PÚBLICAS EN EL MARCO DEL PROYECTO DE FORTALECIMIENTO AL SECTOR CULTURAL EN EL DEPARTAMENTO DE SUCRE Y EN EL FONDO MIXTO DE PROMOCIÓN DE LA CULTURA Y LAS ARTES DE SUCRE</t>
  </si>
  <si>
    <t>MARGELIA FELICIA SFEIR GALVAN</t>
  </si>
  <si>
    <t>PRESTACIÓN DE SERVICIOS PROFESIONALES CON EXPERIENCIA EN EL MANEJO DE PLATAFORMAS DE LOS PROYECTOS CULTURALES DE REGALÍAS (GESPROY y SPGR) EN EL MARCO DEL PROYECTO DE FORTALECIMIENTO AL SECTOR CULTURAL EN EL DEPARTAMENTO DE SUCRE Y EN EL FONDO MIXTO DE PROMOCIÓN DE LA CULTURA Y LAS ARTES DE SUCRE</t>
  </si>
  <si>
    <t>KATHERIN CANDELARIA CHAMORRO RODRIGUEZ</t>
  </si>
  <si>
    <t>PRESTACIÓN DE SERVICIOS PROFESIONALES CON EXPERIENCIA EN FORMULACIÓN DE PROYECTOS EN EL MARCO DEL PROYECTO DE FORTALECIMIENTO AL SECTOR CULTURAL EN EL DEPARTAMENTO DE SUCRE Y EN EL FONDO MIXTO DE PROMOCIÓN DE LA CULTURA Y LAS ARTES DE SUCRE</t>
  </si>
  <si>
    <t>PRESTACIÓN DE SERVICIOS PROFESIONALES CON EXPERIENCIA EN COMUNICACIÓN SOCIAL Y PERIODISMO EN EL MARCO DEL PROYECTO DE FORTALECIMIENTO AL SECTOR CULTURAL EN EL DEPARTAMENTO DE SUCRE Y EN EL FONDO MIXTO DE PROMOCIÓN DE LA CULTURA Y LAS ARTES DE SUCRE</t>
  </si>
  <si>
    <t>AURA ISABEL HERRERA MARTINEZ</t>
  </si>
  <si>
    <t>11-06-02-2025</t>
  </si>
  <si>
    <t>12-06-02-2025</t>
  </si>
  <si>
    <t>13-06-02-2025</t>
  </si>
  <si>
    <t>14-06-02-2025</t>
  </si>
  <si>
    <t>15-06-02-2025</t>
  </si>
  <si>
    <t>16-06-02-2025</t>
  </si>
  <si>
    <t>17-13-02-2025</t>
  </si>
  <si>
    <t>18-13-02-2025</t>
  </si>
  <si>
    <t>19-13-02-2025</t>
  </si>
  <si>
    <t>20-13-02-2025</t>
  </si>
  <si>
    <t>JOSE FELIPE BARRETO BARRIOS</t>
  </si>
  <si>
    <t>JAVIER GUEVARA FERNANDEZ</t>
  </si>
  <si>
    <t>OLGER MAUEL CANCHILA PEREZ</t>
  </si>
  <si>
    <t>MANUEL DE JESUS BARRIOS GIL</t>
  </si>
  <si>
    <t>DIEZ MESES</t>
  </si>
  <si>
    <t>PRESTACIÓN DE SERVICIOS PROFESIONALES COMO ABOGADO PARA BRINDAR APOYO EN LA REVISIÓN JURÍDICA DE TODOS LOS ASPECTOS LEGALES DEL PROYECTO DE IMPLEMENTACIÓN DE UNA ESTRATEGIA PARA EL FORTALECIMIENTO DE LA CIRCULACIÓN ARTÍSTICA A TRAVÉS DEL PROGRAMA ARTES EN MOVIMIENTO 2025, EN EL DEPARTAMENTO DE SUCRE</t>
  </si>
  <si>
    <t>PRESTACIÓN DE SERVICIOS PROFESIONALES PARA SEGUIMIENTO AL DESARROLLO DEL PROYECTO DE IMPLEMENTACIÓN DE UNA ESTRATEGIA PARA EL FORTALECIMIENTO DE LA CIRCULACIÓN ARTÍSTICA A TRAVÉS DEL PROGRAMA ARTES EN MOVIMIENTO 2025, EN EL DEPARTAMENTO DE SUCRE</t>
  </si>
  <si>
    <t>PRESTACIÓN DE SERVICIOS DE UN BACHILLER PARA APOYO A SEGUIMIENTO DEL PROYECTO DE IMPLEMENTACIÓN DE UNA ESTRATEGIA PARA EL FORTALECIMIENTO DE LA CIRCULACIÓN ARTÍSTICA A TRAVÉS DEL PROGRAMA ARTES EN MOVIMIENTO 2025, EN EL DEPARTAMENTO DE SUCRE.</t>
  </si>
  <si>
    <t>GRUPO EDITADO S.A</t>
  </si>
  <si>
    <t>CUATRO MESES</t>
  </si>
  <si>
    <t>21-14-02-2025</t>
  </si>
  <si>
    <t>PRESTACIÓN DE SERVICIOS PARA LA DIVULGACIÓN PUBLICITARIA EN UN MEDIO DE PRENSA ESCRITA CON COBERTURA EN EL DEPARTAMENTO DE SUCRE, CON EL FIN DE DIFUNDIR EL COMPROMISO INSTITUCIONAL EN EL FORTALECIMIENTO DEL SECTOR CULTURAL DEL DEPARTAMENTO DE SUCRE EN EL MARCO DEL PROYECTO DE FORTALECIMIENTO A FESTIVALES, ENCUENTROS CULTURALES, ARTÍSTICOS Y PATRIMONIALES, CARNAVALES FIESTAS Y FERIAS TRADICIONALES PARA EL 2025 EN EL DEPARTAMENTO DE SUCRE</t>
  </si>
  <si>
    <t>ASOCIACION DE EMPRESARIOS TURISTICOS DEL GOLFO DE MORROSQUILLO</t>
  </si>
  <si>
    <t>OCHO DIAS</t>
  </si>
  <si>
    <t>PRESTACIÓN DE SERVICIOS DE PAUTA PUBLICITARIA DE POSICIONAMIENTO DEL SECTOR TURISTICO Y CULTURAL DEL DEPARTAMENTO DE SUCRE EN LA REVISTA EDICION N° 15 DEL GOLFO DE MORROSQUILLO, QUE SERA ENTREGADA EN LA VITRINA TURISTICA ANATO 2025</t>
  </si>
  <si>
    <t>02-19-02-2025</t>
  </si>
  <si>
    <t>AUNAR ESFUERZOS PARA LA REALIZACION DEL VII FESTIVAL BETULIANO ENCUENTRO DE CONSTUMBRES Y TRADICIONES BETULIANA, QUE SE LLEVARA A CABO EN EL MUNICIPIO DE MORROA, SUCRE</t>
  </si>
  <si>
    <t xml:space="preserve">FUNDACION PARA EL DESARROLLO SOCIAL DEL CARIBE </t>
  </si>
  <si>
    <t>BETULIA</t>
  </si>
  <si>
    <t>JORGE MARIO SANTACRUZ DIAZ</t>
  </si>
  <si>
    <t>PRESTACIÓN DE SERVICIOS ARTISTICOS DE SHOW MUSICAL EN  EL CARNAVAL “VACILATELO COMO E´”2025 QUE SE LLEVARA A CABO EN EL MUNICIPIO DE SAN PEDRO SUCRE</t>
  </si>
  <si>
    <t>JESUS ENRIQUE LOPEZ BARRETO</t>
  </si>
  <si>
    <t>CARLOS FERNANDO PIEDRAHITA GONZALEZ (kay)</t>
  </si>
  <si>
    <t>PRESTACIÓN DE SERVICIOS ARTISTICOS DE SHOW MUSICAL EN EL EVENTO DE CORONACION EN EL MARCO DEL CARNAVAL DE COROZAL, SUCRE 2025</t>
  </si>
  <si>
    <t>PRESTACIÓN DE SERVICIOS ARTISTICOS DE SHOW MUSICAL EN LAS NOCHES COROZALERAS EN EL MARCO DEL CARNAVAL DE COROZAL, SUCRE 2025</t>
  </si>
  <si>
    <t>PRESTACION DE SERVICIOS PROFESIONALES COMO COORDINADOR DEL PROYECTO DE IMPLEMENTACION DE UNA ESTRATEGIA PARA EL FROTALECIMIENTO DE LA CIRCULACION ARTISTICA A TRAVES DEL PROGRAMA ARTES EN MOVIMIENTO 2025, EN EL DEPARTAMENTO DE SUCRE.</t>
  </si>
  <si>
    <t>22-18-02-2025</t>
  </si>
  <si>
    <t>23-20-02-2025</t>
  </si>
  <si>
    <t>24-28-02-2025</t>
  </si>
  <si>
    <t>25-03-03-2025</t>
  </si>
  <si>
    <t>26-03-03-2025</t>
  </si>
  <si>
    <t>27-04-03-2025</t>
  </si>
  <si>
    <t>28-04-03-2025</t>
  </si>
  <si>
    <t>29-04-03-2025</t>
  </si>
  <si>
    <t>30-04-03-2025</t>
  </si>
  <si>
    <t>31-07-03-2025</t>
  </si>
  <si>
    <t>ROBERT ANDRES TORRES RICARDO</t>
  </si>
  <si>
    <t>PRESTACION DE SERVICIOS PROFESIONALES COMO DINAMIZADOR DE PROCESOS BIBLIOTECARIOS   EN EL MARCO DEL PROYECTO DE FORTALECIMIENTO INSTITUCIONAL EN LA BIBLIOTECA PÚBLICA DEPARTAMENTAL JOSÉ ELÍAS CURY LAMBRAÑO, EN EL DEPARTAMENTO DE SUCRE</t>
  </si>
  <si>
    <t xml:space="preserve">JORGE LUIS ROMERO PUELLO </t>
  </si>
  <si>
    <t>PRESTACION DE SERVICIOS DE APOYO A LA GESTION PARA BRINDAR ASISTENCIA AL MATERIAL BIBLIOGRÁFICO Y DOCUMENTAL                                                                              EN EL MARCO DEL PROYECTO DE FORTALECIMIENTO INSTITUCIONAL EN LA BIBLIOTECA PÚBLICA DEPARTAMENTAL JOSÉ ELÍAS CURY LAMBRAÑO, EN EL DEPARTAMENTO DE SUCRE</t>
  </si>
  <si>
    <t xml:space="preserve">ARLENIS TULENA GIL </t>
  </si>
  <si>
    <t>CARLOS JULIO ORDOÑEZ SIERRA</t>
  </si>
  <si>
    <t>PRESTACION DE SERVICIOS DE APOYO A LA GESTION COMO AUXILIAR LOGÍSTICO EN EL MARCO DEL PROYECTO DE FORTALECIMIENTO INSTITUCIONAL EN LA BIBLIOTECA PÚBLICA DEPARTAMENTAL JOSÉ ELÍAS CURY LAMBRAÑO, EN EL DEPARTAMENTO DE SUCRE</t>
  </si>
  <si>
    <t xml:space="preserve">DEIVIS MANUEL MONTES URUETA </t>
  </si>
  <si>
    <t>PRESTACION DE SERVICIOS DE APOYO A LA GESTION COMO OPERATIVO AUDIOVISUAL EN EL MARCO DEL PROYECTO DE FORTALECIMIENTO INSTITUCIONAL EN LA BIBLIOTECA PÚBLICA DEPARTAMENTAL JOSÉ ELÍAS CURY LAMBRAÑO, EN EL DEPARTAMENTO DE SUCRE</t>
  </si>
  <si>
    <t>PRESTACIÓN DE SERVICIOS PROFESIONALES COMO COMMUNITY MANAGER EN EL MARCO DEL PROYECTO DE FORTALECIMIENTO A FESTIVALES, ENCUENTROS CULTURALES, ARTÍSTICOS Y PATRIMONIALES, CARNAVALES FIESTAS Y FERIAS TRADICIONALES PARA EL 2025 EN EL DEPARTAMENTO DE SUCRE</t>
  </si>
  <si>
    <t>03-06-03-2025</t>
  </si>
  <si>
    <t>FUNDACION LUZ VERDE</t>
  </si>
  <si>
    <t>ALBANIA</t>
  </si>
  <si>
    <t>AUNAR ESFUERZOS PARA LA REALIZACION DE LOS CARNAVALES EN EL CORREGIMIENTO DE ALBANIA</t>
  </si>
  <si>
    <t>32-14-03-2025</t>
  </si>
  <si>
    <t>PRESTACIÓN DE SERVICIOS ARTISTICOS DE SHOW MUSICAL EN EL EVENTO DE CORONACION EN EL CARNAVAL 2025 QUE SE LLEVARA A CABO EN EL MUNICIPIO DE EL ROBLE, SUCRE</t>
  </si>
  <si>
    <t>DOS DIAS</t>
  </si>
  <si>
    <t>KRISTIAN CAMILO MONTES SEGOVIA</t>
  </si>
  <si>
    <t>PRESTACION DE SERVICIOS DE APOYO A LA GESTION COMO PRODUCTOR AUDIO VISUAL   EN EL MARCO DEL PROYECTO DE FORTALECIMIENTO INSTITUCIONAL EN LA BIBLIOTECA PÚBLICA DEPARTAMENTAL JOSÉ ELÍAS CURY LAMBRAÑO, EN EL DEPARTAMENTO DE SUCRE</t>
  </si>
  <si>
    <t>33-26-03-2025</t>
  </si>
  <si>
    <t>04-26-03-2025</t>
  </si>
  <si>
    <t>AUNAR ESFUERZOS PARA LA REALIZACION DEL 11° FESTIVAL DE VERANO, QUE SE LLEVARA A CABO EN EL MUNICIPIO DE SAN BENITO ABAD, SUCRE</t>
  </si>
  <si>
    <t>FUNDACION PARA LA PROMOCION DE LA CONVIVENCIA Y LA PAZ – FUNCONPAZ.</t>
  </si>
  <si>
    <t>SAN BENITO</t>
  </si>
  <si>
    <t>05-10-04-2025</t>
  </si>
  <si>
    <t>06-10-04-2025</t>
  </si>
  <si>
    <t>GUARANDA</t>
  </si>
  <si>
    <t>CHALAN</t>
  </si>
  <si>
    <t xml:space="preserve">FUNDACION CULTURAL TEJIENDO TRADICIONES </t>
  </si>
  <si>
    <t>AUNAR ESFUERZOS PARA LA REALIZACION DEL PRIMER FESTIVAL DE JUEGOS TRADICIONALES, QUE SE LLEVARA A CABO EN EL MUNICIPIO DE CHALAN, SUCRE</t>
  </si>
  <si>
    <t>FUNDACION MIXTA LIBERTAD</t>
  </si>
  <si>
    <t>AUNAR ESFUERZOS PARA LA REALIZACION DEL XXXV FESTIVAL DEL DULCE Y GASTRONOMICO; “TRADICION EN TU PALADAR, QUE SE LLEVARA A CABO EN EL MUNICIPIO DE GUARANDA, SUCRE</t>
  </si>
  <si>
    <t>07-11-04-2025</t>
  </si>
  <si>
    <t>AUNAR ESFUERZOS PARA LA REALIZACION DEL FESTIVAL GASTRONOMICO DEL DULCE, QUE SE LLEVARA A CABO EN EL CORREGIMIENTO SAN ROQUE PERTENECIENTE AL MUNICIPIO DE MAJAGUAL, SUCRE</t>
  </si>
  <si>
    <t>FUNDACION AYUDANOS A AYUDAR A LA MOJANA</t>
  </si>
  <si>
    <t>34-11-04-2025</t>
  </si>
  <si>
    <t>PRESTACIÓN DE SERVICIOS PARA EL SUMINISTRO DE INSTRUMENTOS MUSICALES Y REFRIGERIOS PARA LAS MESAS DE TRABAJO EN EL MARCO DEL PROYECTO APOYO A LA IMPLEMENTACIÓN DE LOS PLANES ESPECIALES DE SALVAGUARDIA DEL PATRIMONIO INMATERIAL EN EL MUNICIPIO DE SANTIAGO DE TOLÚ, DEPARTAMENTO DE SUCRE</t>
  </si>
  <si>
    <t>FUNDACION LATINOAMERICANA PARA EL DESARROLLO ECONOMICO - FUNLADEC</t>
  </si>
  <si>
    <t>UN MES</t>
  </si>
  <si>
    <t>TATIANA ISELA NIEBLES FLOREZ</t>
  </si>
  <si>
    <t>PRESTACION DE SERVICIOS PROFESIONALES COMO COORDINADOR EN EL MARCO DEL PROYECTO APOYO A LA IMPLEMENTACIÓN DE LOS PLANES ESPECIALES DE SALVAGUARDIA DEL PATRIMONIO INMATERIAL EN EL MUNICIPIO DE SANTIAGO DE TOLÚ, DEPARTAMENTO DE SUCRE.</t>
  </si>
  <si>
    <t>DOS MESES</t>
  </si>
  <si>
    <t>MAJAGUAL</t>
  </si>
  <si>
    <t>35-23-04-2025</t>
  </si>
  <si>
    <t>36-23-04-2025</t>
  </si>
  <si>
    <t>GINNA PAOLA PEREZ CASTRO</t>
  </si>
  <si>
    <t>PRESTACION DE SERVICIOS PROFESIONALES COMO ANTROPOLOGA EN EL MARCO DEL PROYECTO APOYO A LA IMPLEMENTACIÓN DE LOS PLANES ESPECIALES DE SALVAGUARDIA DEL PATRIMONIO INMATERIAL EN EL MUNICIPIO DE SANTIAGO DE TOLÚ, DEPARTAMENTO DE SUCRE.</t>
  </si>
  <si>
    <t>37-02-05-2025</t>
  </si>
  <si>
    <t>38-02-05-2025</t>
  </si>
  <si>
    <t>FUNDACION CANTARES</t>
  </si>
  <si>
    <t>DIECINUEVE DÍAS</t>
  </si>
  <si>
    <t>PRESTACIÓN DE SERVICIOS LOGISTICOS EN EL MARCO DEL PROYECTO APOYO A LA PROMOCIÓN Y POSICIONAMIENTO EN LA FERIA DE ARTE MANUAL DEL CARIBE “AMA” DEL SECTOR ARTESANAL DEL DEPARTAMENTO DE SUCRE</t>
  </si>
  <si>
    <t>ASOCIACION COLOMBIANA DE LAS MICRO PEQUEÑAS Y MEDIANAS EMPRESAS - ACOPI</t>
  </si>
  <si>
    <t>PRESTACIÓN DE SERVICIOS PARA EL ALQUILER DE ESPACIO PARA EL STAND DEL DEPARTAMENTO DE SUCRE EL MARCO DEL PROYECTO APOYO A LA PROMOCIÓN Y POSICIONAMIENTO EN LA FERIA DE ARTE MANUAL DEL CARIBE “AMA” DEL SECTOR ARTESANAL DEL DEPARTAMENTO DE SUCRE</t>
  </si>
  <si>
    <t>FUNDACION ESCUELA DE DANZAS NUBALE DE COROZAL</t>
  </si>
  <si>
    <t>AUNAR ESFUERZOS PARA EL FOMENTO Y PROMOCIÓN DEL IV FESTIVAL NACIONAL DE DANZAS FOLCLORICAS COLOMBIANAS FLOR MARIA GONZALEZ “COLOMBIA, UN PAIS QUE SE MUEVE, QUE SE REALIZARA EN EL MUNICIPIO DE COROZAL, SUCRE</t>
  </si>
  <si>
    <t>COROZAL</t>
  </si>
  <si>
    <t>08-16-05-2025</t>
  </si>
  <si>
    <t>39-20-05-2025</t>
  </si>
  <si>
    <t>ALEJANDRA INFANZON OCHOA</t>
  </si>
  <si>
    <t>PRESTACIÓN DE SERVICIOS ARTISTICOS DE SHOW MUSICAL EN MARCO DE LAS FESTIVIDADES CULTURALES QUE SE LLEVARAN A CABO EN EL MUNICIPIO DE MAJAGUAL, SUCRE</t>
  </si>
  <si>
    <t>UN DÍA</t>
  </si>
  <si>
    <t>40-20-05-2025</t>
  </si>
  <si>
    <t>CINCO MESES</t>
  </si>
  <si>
    <t>09-23-05-2025</t>
  </si>
  <si>
    <t>CORPORACION AFROCOLOMBIANA DE SUCRE</t>
  </si>
  <si>
    <t>AFRODESENDIENTE</t>
  </si>
  <si>
    <t>RINCON DEL MAR</t>
  </si>
  <si>
    <t>AUNAR ESFUERZOS PARA LA REALIZACION DEL DECIMOCTAVO ENCUENTRO CULTURAL AFROMONTEMARIANO, QUE SE LLEVARA A CABO EN RINCON DEL MAR, SUCRE</t>
  </si>
  <si>
    <t>41-30-05-2025</t>
  </si>
  <si>
    <t>PRESTACIÓN DE SERVICIOS LOGISTICOS EN EL MARCO DEL PROYECTO PROMOCIÓN DE LA IDENTIDAD DE SUCRE A TRAVÉS DE MUESTRAS CULTURALES Y ESTRATEGIAS DE COMUNICACIÓN PARA VISIBILIZAR NUESTRO PATRIMONIO E IDENTIDAD CULTURAL</t>
  </si>
  <si>
    <t>DIEZ DIAS</t>
  </si>
  <si>
    <t>SUMINISTROS INTEGRALES, ASESORIAS, CONSTRUCCIÓN &amp; MANTENIMIMIENTOS GENERALES – SIMAG S.AS</t>
  </si>
  <si>
    <t>42-10-06-2025</t>
  </si>
  <si>
    <t xml:space="preserve">ASCENSORES SCHINDLER DE COLOMBIA S.A.S </t>
  </si>
  <si>
    <t xml:space="preserve">PRESTACIÓN DE SERVICIOS PARA EL MANTENIMIENTO PREVENTIVO Y CORRECTIVO DEL ASCENSOR MARCA SCHINDLER DEL FONDO MIXTO DE PROMOCION DE LA CULTURA Y LAS ARTES DE SUCRE. </t>
  </si>
  <si>
    <t>HASTA 31 DE DICIEMBRE</t>
  </si>
  <si>
    <t>PRESTACION DE SERVICIOS PARA LA DIVULGACION PUBLICITARIA EN UN MEDIO DE PRENSA ESCRITA CON COBERTURA EN EL DEPARTAMENTO DE SUCRE, CON EL FIN DE DIFUNDIR EL COMPROMISO INSTITUCIONAL EN EL FORTALECIMIENTO DEL SECTOR CULTURA DEL DEPARTAMENTO DE SUCRE EN EL MARCO DEL PROYECTO DE UNA IMPLEMENTACION DE UNA ESTRATEGIA PARA EL FORTALECIMIENTO DE LA CIRCULACION ARTISTICA A TRAVES DEL PROGRAMA ARTES EN MOVIMIENTO 2025, EN EL DEPARTAMENTO DE SUCRE.</t>
  </si>
  <si>
    <t>10-19-06-2025</t>
  </si>
  <si>
    <t>AUNAR ESFUERZOS PARA LA REALIZACION DEL IV ENCUENTRO DE LA CULTURA ANFIBIA SUCREÑA, QUE SE LLEVARA A CABO EN EL MUNICIPIO DE SUCRE, SUCRE</t>
  </si>
  <si>
    <t>FUNDACION PATA DE AGUA</t>
  </si>
  <si>
    <t>SUCRE</t>
  </si>
  <si>
    <t>PRESTACIÓN DE SERVICIOS LOGISTICOS EN EL MARCO DEL PROYECTO APOYO A LA PROMOCIÓN GASTRONÓMICA, CULTURAL Y TURÍSTICA EN EL MARCO DE LA CONTINUIDAD DE LA ESTRATEGIA SUCRE SABE DIFERENTE EN EL DEPARTAMENTO DE SUCRE</t>
  </si>
  <si>
    <t>FUNDACION PROFESIONALES Y EMPRENDEDORES SOCIALES</t>
  </si>
  <si>
    <t>44-25-06-2025</t>
  </si>
  <si>
    <t>PRESTACIÓN DE SERVICIOS ARTISTICOS DE SHOW MUSICAL EN LA APERTURA DEL FESTIVAL DE ACORDEONEROS, COMPOSITORES Y PIQUERÍA QUE SE LLEVARA A CABO EN EL MUNICIPIO DE EL ROBLE, SUCRE</t>
  </si>
  <si>
    <t xml:space="preserve">JORGE ALFONSO AGUIRRE CHAMORRO </t>
  </si>
  <si>
    <t>AUNAR ESFUERZOS PARA LA REALIZACION DEL XVI FESTIAL DEL MAIZ QUE SE LLEVARÁ A CABO EN EL CORREGIMIENTO DE LA GALLERA, SINCELEJO 2025</t>
  </si>
  <si>
    <t>CORPORACION RESCATANDO LA CULTURA Y TRADICION DEL PUEBLO ZENÚ – CORZENÚ.</t>
  </si>
  <si>
    <t>INDIGENA</t>
  </si>
  <si>
    <t>LA GALLERA</t>
  </si>
  <si>
    <t>12-27-06-2025</t>
  </si>
  <si>
    <t>CORPORACION MIXTA DE GESTION CULTURAL CUADROS VIVOS DE GALERAS</t>
  </si>
  <si>
    <t>AUNAR ESFUERZOS PARA LA REALIZACION DEL PRIMER ENCUENTRO  DE MUSICA DE BANDAS DE VIENTO AFICIONADAS EN EL MUNICIPIO DE GALERAS, TALLER DE MUSICA DE BANDA DE VIENTOS, LA RELACION E IMPORTANCIA EN LOS CUADROS VIVOS</t>
  </si>
  <si>
    <t>43-20-06-2025</t>
  </si>
  <si>
    <t>001-2025</t>
  </si>
  <si>
    <t>AUNAR ESFUERZOS PARA EL APOYO EN LA REALIZACIÓN DE ACTIVIDADES CULTURALES EN EL MARCO DEL XXXVI FESTIVAL NACIONAL DEL PITO ATRAVESAO “PABLO DOMINGUEZ”, CON EL FIN DE FOMENTAR LAS MUESTRAS CULTURALES DEL DEPARTAMENTO DE SUCRE.</t>
  </si>
  <si>
    <t>ALCALDIA MUNICIPAL DE MORROA, SUCRE</t>
  </si>
  <si>
    <t>MORROA</t>
  </si>
  <si>
    <t>002-2025</t>
  </si>
  <si>
    <t>AUNAR ESFUERZOS PARA EL APOYO EN LA REALIZACIÓN DE ACTIVIDADES CULTURALES EN EL MARCO DEL XXII ENCUENTRO CULTURAL LA POLLERA COLORÁ DEL MUNICIPIO DE SINCÉ, DEPARTAMENTO DE SUCRE.</t>
  </si>
  <si>
    <t>ALCALDIA MUNICIPAL DE SINCÉ, SUCRE</t>
  </si>
  <si>
    <t>SINCE</t>
  </si>
  <si>
    <t>13-18-07-2025</t>
  </si>
  <si>
    <t>JUNTA DE ACCION COMUNAL DEL CORREGIMIENTO DE CEJA DEL MANGO.</t>
  </si>
  <si>
    <t>AUNAR ESFUERZOS PARA LA REALIZACION DEL ENCUENTRO CULTURAL EN TORNO AL PORRO Y AL FANDANGO, EN EL CORREGIMIENTO CEJA DEL MAGO, MUNICIPIO DE SAMPUES, SUCRE</t>
  </si>
  <si>
    <t>SAMPUES - CEJA DEL  MANGO</t>
  </si>
  <si>
    <t>14-18-07-2025</t>
  </si>
  <si>
    <t>AUNAR ESFUERZOS PARA LA REALIZACION DEL IV ENCUENTRO CULTURAL POLA BECTE EN EL MUNICIPIO DE SINCELEJO, SUCRE</t>
  </si>
  <si>
    <t>FUNDACION TRENZANDO SUEÑOS</t>
  </si>
  <si>
    <t>SINCELEJO</t>
  </si>
  <si>
    <t>45-18-07-2025</t>
  </si>
  <si>
    <t>PRESTACIÓN DE SERVICIOS LOGISTICOS EN EL MARCO DEL PROYECTO APOYO EN LA PARTICIPACIÓN INSTITUCIONAL EN EL MARCO DEL XXII ENCUENTRO CULTURAL LA POLLERA COLORÁ, EN EL MUNICIPIO SAN LUIS DE SINCÉ, DEPARTAMENTO DE SUCRE</t>
  </si>
  <si>
    <t>VISION.COM S.A.S</t>
  </si>
  <si>
    <t>SIETE DIAS</t>
  </si>
  <si>
    <t xml:space="preserve">15-25-07-2025 </t>
  </si>
  <si>
    <t>AUNAR ESFUERZOS PARA LA REALIZACION DEL 6° ENCUENTRO AFRO-CULTURAL PALOALTERO “HOMENAJE A OSCAR ZUÑIGA, EN EL CORREGIMIENTO DE PALO ALTO, SAN ONOFRE -SUCRE.”</t>
  </si>
  <si>
    <t>FUNDACION AFRO, AMBIENTAL, SOCIAL Y CULTURAL</t>
  </si>
  <si>
    <t>PALO ALTO</t>
  </si>
  <si>
    <t xml:space="preserve">16-05-08-2025 </t>
  </si>
  <si>
    <t>AUNAR ESFUERZOS PARA LA REALIZACION DE LA XXXI MUESTRA NACIONAL E INTERNACIONAL DE DANZAS DE SINCELEJO RECONOCIMIENTO A LA LABOR DE COREOGRAFOS DEL FOLCLOR EN EL MUNICIPIO DE SINCELEJO, SUCRE</t>
  </si>
  <si>
    <t>ASOCIACION DE DANZANTES DE SUCRE – ADANSAR</t>
  </si>
  <si>
    <t>46-08-08-2025</t>
  </si>
  <si>
    <t>PRESTACIÓN DE SERVICIOS LOGISTICOS EN EL MARCO DEL APOYO A LA PROMOCIÓN, FOMENTO Y FORTALECIMIENTO CULTURAL Y COMERCIAL DE LOS SUBSECTORES CALZADO, MARROQUINERÍA, ARTESANÍAS, MODA, TEXTIL, Y TURISMO 2025, EN EL MARCO DE LA REACTIVACIÓN ECONÓMICA DEL DEPARTAMENTO DE SUCRE</t>
  </si>
  <si>
    <t>YAMILE SALAZAR MARIN</t>
  </si>
  <si>
    <t xml:space="preserve">HOTEL POBLADO S.A.S. </t>
  </si>
  <si>
    <t>PRESTACION DE SERVICIO DE HOSPEDAJE, ALQUILER DE SALONES DE EVENTOS EN EL MARCO DEL APOYO A LA PROMOCIÓN, FOMENTO Y FORTALECIMIENTO CULTURAL Y COMERCIAL DE LOS SUBSECTORES CALZADO, MARROQUINERÍA, ARTESANÍAS, MODA, TEXTIL, Y TURISMO 2025, EN EL MARCO DE LA REACTIVACIÓN ECONÓMICA DEL DEPARTAMENTO DE SUCRE</t>
  </si>
  <si>
    <t>17-14-08-2025</t>
  </si>
  <si>
    <t>18-15-08-2025</t>
  </si>
  <si>
    <t>AUNAR ESFUERZOS PARA LA REALIZACION DEL FESTIVAL VOCES A LA LUNA, EN EL CORREGIMIENTO DE LAS FLORES, MORROA -SUCRE</t>
  </si>
  <si>
    <t>FUNDACION HIJOS DE LA SIERRA FLOR</t>
  </si>
  <si>
    <t>MORROA- LAS FLORES</t>
  </si>
  <si>
    <t xml:space="preserve"> </t>
  </si>
  <si>
    <t>46-04-08-2025</t>
  </si>
  <si>
    <t>48-11-08-2025</t>
  </si>
  <si>
    <t>PRESTACIÓN DE SERVICIOS PROFESIONALES PARA BRINDAR APOYO A LA SUPERVISIÓN COMO INGENIERO ELECTRICO PARA EL PROYECTO “MEJORAMIENTO DE SEDES EDUCATIVAS DE LA SUBREGIÓN SAN JORGE Y SABANA, POR UNA EDUCACIÓN DIFERENTE, DEPARTAMENTO DE SUCRE</t>
  </si>
  <si>
    <t xml:space="preserve">ISAIAS VILLEGAS AGUILERA </t>
  </si>
  <si>
    <t xml:space="preserve">UN (01) MES Y VEINTINUEVE (29) DIAS </t>
  </si>
  <si>
    <t>19-15-08-2025</t>
  </si>
  <si>
    <t>FUNDACION RANCHO GRANDE ZENU - RAGRANZE</t>
  </si>
  <si>
    <t>HUERTAS CHICAS - SAMPUES</t>
  </si>
  <si>
    <t>AUNAR ESFUERZOS PARA LA REALIZACION DE LA IV FERIA ARTESANAL AGROECOLOGICA Y CULTURAL DE LA ETNIA ZENÚ “ENCUENTRO DE SABERES” QUE SE LLEVARA A CABO EN EL CABILDO MENOR INDIGENA ZENÚ DE HUERTAS CHICAS, SAMPUES, SUCRE</t>
  </si>
  <si>
    <t>CORPORACION CULTURAL LATIN DANCE</t>
  </si>
  <si>
    <t>AUNAR ESFUERZOS PARA LA REALIZACION DEL XI MUESTRA CULTURAL DE DANZA URBANA “URBAN DANCE CHAMPIONSHIP SINCELEJO</t>
  </si>
  <si>
    <t>49-20-08-2025</t>
  </si>
  <si>
    <t>SUPPLIES SERVICES AND PRODUCTS S.A.S</t>
  </si>
  <si>
    <t>PRESTACION DE SERVICIO LOGISTICOS EN EL MARCO DEL PROYECTO APOYO A LA PROMOCIÓN Y POSICIONAMIENTO EN LA FERIA GASTRONÓMICA “SABOR BARRANQUILLA” DEL SECTOR CULTURAL DEL DEPARTAMENTO DE SUCRE</t>
  </si>
  <si>
    <t>20-22-08-2025</t>
  </si>
  <si>
    <t>AUNAR ESFUERZOS PARA LA REALIZACION DEL SEGUNDO FESTIVAL DE FANDANGO Y TRADICIONES: EN HONOR A LILIA MARÍA ARRIETA SERRANO POR SU APORTE A LA TRADICION Y A LA CULTURA QUE SE LLEVARA A CABO EN MAJAGUAL, SUCRE</t>
  </si>
  <si>
    <t>50-27-08-2025</t>
  </si>
  <si>
    <t>FUNDACION NEXUS E INNOVACION CULTURAL</t>
  </si>
  <si>
    <t>PRESTACION DE SERVICIO LOGISTICOS EN EL MARCO DEL PROYECTO IMPLEMENTACIÓN DE ACTIVIDADES BIBLIOTECARIAS Y DE MEDIACIÓN EN EL MARCO DEL ENCUENTRO DE BIBLIOTECARIOS Y MEDIADORES SOCIOCULTURALES 2025, EN EL DEPARTAMENTO DE SUCRE</t>
  </si>
  <si>
    <t>21-28-08-2025</t>
  </si>
  <si>
    <t>CORPORACION CULTURAL TRADICION VIVA</t>
  </si>
  <si>
    <t>AUNAR ESFUERZOS PARA LA REALIZACION DEL IX FESTIVAL DE MUSICA FOLCLORICA TRADICION VIVA QUE SE LLEVARA A CABO EN EL MUNICIPIO DE SINCELEJO, SUCRE</t>
  </si>
  <si>
    <t>22-29-08-2025</t>
  </si>
  <si>
    <t>23-29-08-2025</t>
  </si>
  <si>
    <t>FUNDACION INTEGRAL Y DEPORTIVA - FID</t>
  </si>
  <si>
    <t>AUNAR ESFUERZOS PARA LA REALIZACION DE LA PRIMERA FERIA NACIONAL GASTRONOMICA CULTURAL Y DERIVADOS DEL COROZO QUE SE LLEVARA A CABO EN EL MUNICIPIO DE COROZAL, SUCRE</t>
  </si>
  <si>
    <t>CABILDO MENOR INDIGENA DE LA COMUNIDAD LOS ALTOS</t>
  </si>
  <si>
    <t>AUNAR ESFUERZOS PARA LA REALIZACION DEL FESTIVAL GASTRONOMICO CULTURAL “RAICES Y TRADICIONES” QUE SE LLEVARA A CABO EN EL CORREGIMIENTO DE MACAJAN</t>
  </si>
  <si>
    <t>MACAJAN</t>
  </si>
  <si>
    <t xml:space="preserve">51-29-08-2025
</t>
  </si>
  <si>
    <t>ROGER SAHID ROJAS OVIEDO</t>
  </si>
  <si>
    <t>PRESTACIÓN DE SERVICIOS ARTISTICOS DE SHOW MUSICAL EN EL FESTIVAL DE PAREJAS BAILADORAS DE FANDANGO QUE SE LLEVARA A CABO EN EL MUNICIPIO DE LOS PALMITOS, SUCRE</t>
  </si>
  <si>
    <t>CORPORACION DE FERIAS AGROPECUARIAS DE SUCRE - CORFASUCRE</t>
  </si>
  <si>
    <t>52-29-08-2025</t>
  </si>
  <si>
    <t>PRESTACION DE SERVICIO LOGISTICOS EN EL MARCO DEL PROYECTO APOYO A LA PARTICIPACIÓN CULTURAL, ARTESANAL Y GASTRÓNOMICA EN EL MARCO DE LA 45a EXPOSICIÓN EQUINA GRADO A MUESTRA GASTRONÓMICA, COMERCIAL Y ARTESANAL EN EL DEPARTAMENTO DE SUCRE</t>
  </si>
  <si>
    <t>TRES DIAS</t>
  </si>
  <si>
    <t>24-01-09-2025</t>
  </si>
  <si>
    <t>AUNAR ESFUERZOS PARA LA FORMACIÓN EN MÚSICA SINFÓNICA COMO FORMA DE CONSERVACIÓN CULTURAL EN EL DEPARTAMENTO DE SUCRE EN EL MARCO DEL PROYECTO FORTALECIMIENTO DE LOS PROCESOS DE FORMACIÓN Y DIFUSIÓN MUSICAL A TRAVÉS DEL PROGRAMA "SONIDOS PARA LA VIDA” DURANTE EL AÑO 2025 EN EL DEPARTAMENTO DE SUCRE</t>
  </si>
  <si>
    <t xml:space="preserve">CORPORACION IN CRESCENDO  </t>
  </si>
  <si>
    <t>25-01-09-2025</t>
  </si>
  <si>
    <t>AUNAR ESFUERZOS PARA LA REALIZACION DEL XVII FESTIVAL DEL RECUERDO DE GUAIMI, “CANTORES DE VIDA Y PAZ, VERSION ANDRES TERAN CARPIO 2025, QUE SE LLEVARA A CABO EN EL CORREGIMIENTO DE GUAMI EN PALMITO, SUCRE</t>
  </si>
  <si>
    <t>ASOCIACION CULTURA Y PROGRESO</t>
  </si>
  <si>
    <t>GUAIMI</t>
  </si>
  <si>
    <t>26-05-09-2025</t>
  </si>
  <si>
    <t>AUNAR ESFUERZOS PARA LA FORMACIÓN EN MÚSICA SINFÓNICA CON ENFOQUE DIFERENCIAL COMO FORMA DE CONSERVACIÓN CULTURAL EN EL DEPARTAMENTO DE SUCRE EN EL MARCO DEL PROYECTO FORTALECIMIENTO DE LOS PROCESOS DE FORMACIÓN Y DIFUSIÓN MUSICAL A TRAVÉS DEL PROGRAMA "SONIDOS PARA LA VIDA” DURANTE EL AÑO 2025 EN EL DEPARTAMENTO DE SUCRE</t>
  </si>
  <si>
    <t>FUNDACIÓN CONSERVATORIO DE MUSICA DE SINCELEJO SUCRE FUNCOMUS</t>
  </si>
  <si>
    <t>53-15-09-2025</t>
  </si>
  <si>
    <t>PRESTACION DE SERVICIO LOGISTICOS EN EL MARCO DEL PROYECTO FORTALECIMIENTO AL COMPONENTE DE PARTICIPACIÓN CIUDADANA DEL SISTEMA DE CULTURA EN EL DEPARTAMENTO DE SUCRE</t>
  </si>
  <si>
    <t>FUNDACION INTEGRAL PARA EL DESARROLLO ECOLOGICOECONOMICOSOCIAL Y AMBIENTAL DE UNA NUEVA COLOMBIA – FUNDISAC.</t>
  </si>
  <si>
    <t>54-16-09-2025</t>
  </si>
  <si>
    <t>VIAJES Y TURISMO MAR CARIBE LIMITADA</t>
  </si>
  <si>
    <t>PRESTACION DE SERVICIOS PARA TRASLADOS TERRESTRES, AEREOS Y ALOJAMIENTOS EN EL MARCO DEL PROYECTO IMPLEMENTACION DE ESTRATEGIAS INTEGRALES DE PROMOCIÓN Y VALORIZACIÓN INTERNACIONAL DEL TURISMO, LA CULTURA Y LA AGROINDUSTRIA DEL DEPARTAMENTO DE SUCRE</t>
  </si>
  <si>
    <t>27-19-09-2025</t>
  </si>
  <si>
    <t>AUNAR ESFUERZOS PARA LA REALIZACION DEL IX ENCUENTRO CULTURAL DE LA CADENA PRODUCTIVA DE LA CAÑA DE FLECHA, QUE DE LLEVARA A CABO EN EL CABILDO MENOR INDIGENA CHUPUNDUN DEL MUNICIPIO DE SAN ANTONIO DE PALMITO</t>
  </si>
  <si>
    <t>CABILDO MENOR INDIGENA DE CHUPUNDUN DEL MUNICIPIO DE SAN ANTONIO DE PALMITO</t>
  </si>
  <si>
    <t>CHUPUNDUN</t>
  </si>
  <si>
    <t>PENDIENTE IMPRIMIR</t>
  </si>
  <si>
    <t xml:space="preserve">LIBIA ESTHER CANCIO BANQUEZ  </t>
  </si>
  <si>
    <t>PRESTACIÓN DE SERVICIOS PROFESIONALES PARA LA IMPLEMENTACIÓN DEL MODELO INTEGRADO DE PLANEACIÓN Y GESTIÓN MIPG PARA EL FONDO MIXTO DE PROMOCION DE LA CULTURA Y LAS ARTES DE SUCRE</t>
  </si>
  <si>
    <t>28-25-09-2025</t>
  </si>
  <si>
    <t>FUNDACION CULTURAL ÁGORA</t>
  </si>
  <si>
    <t>AUNAR ESFUERZOS PARA LA REALIZACION DEL 24° SINCELEJO MICINE, SE LLEVARÁ A CABO EN EL MUNICIPIO DE SINCELEJO, SUCRE</t>
  </si>
  <si>
    <t>55-26-09-2025</t>
  </si>
  <si>
    <t>56-29-09-2025</t>
  </si>
  <si>
    <t>57-29-09-2025</t>
  </si>
  <si>
    <t>58-29-09-2025</t>
  </si>
  <si>
    <t>TURISMO DEL MORROSQUILLO</t>
  </si>
  <si>
    <t>PRESTACIÓN DE SERVICIOS PARA REALIZAR LA CAMPAÑA DE PROMOCION Y DIVULGACION DE LA FERIA EN EL MARCO DEL PROYECTO IMPLEMENTACION DE ACTIVIDADES LITERARIAS Y DE MEDIACION CULTURAL VIGENCIA 2025, EN EL DEPARTAMENTO DE SUCRE</t>
  </si>
  <si>
    <t>PRESTACION DE SERVICIO LOGISTICOS EN EL MARCO DEL PROYECTO IMPLEMENTACION DE ACTIVIDADES LITERARIAS Y DE MEDIACION CULTURAL VIGENCIA 2025, EN EL DEPARTAMENTO DE SUCRE</t>
  </si>
  <si>
    <t>PRESTACION DE SERVICIO PARA EL SUMINISTRO DE TIQUETES AEREOS EN EL MARCO DEL PROYECTO IMPLEMENTACION DE ACTIVIDADES LITERARIAS Y DE MEDIACION CULTURAL VIGENCIA 2025, EN EL DEPARTAMENTO DE SUCRE</t>
  </si>
  <si>
    <t>59-01-10-2025</t>
  </si>
  <si>
    <t>60-01-10-2025</t>
  </si>
  <si>
    <t>FUNDACION MONTUCUY</t>
  </si>
  <si>
    <t>PRESTACION DE SERVICIO PARA BRINDAR APOYO EN EL MARCO DEL PROYECTO DENOMINADO APOYO EN LA FORMULACIÓN DEL PLAN ESPECIAL DE MANEJO Y PROTECCIÓN DEL CENTRO HISTÓRICO DEL MUNICIPIO DE COROZAL, DEPARTAMENTO DE SUCRE</t>
  </si>
  <si>
    <t>PRESTACION DE SERVICIO PARA BRINDAR APOYO EN EL MARCO DEL PROYECTO DENOMINADO IMPLEMENTACIÓN DE ESTRATEGIAS DE APROPIACIÓN SOCIAL DEL PATRIMONIO PARA LA CONSOLIDACIÓN DEL MUSEO ARQUEOLÓGICO MANUEL HUERTAS VERGARA EN SINCELEJO, SUCRE Y EL PROYECTO IMPLEMENTACIÓN DEL PROGRAMA “CONECTANDO SENTIDOS” DIRIGIDO A LA POBLACIÓN CON DISCAPACIDAD VISUAL Y AUDITIVA EN EL MUSEO ARQUEOLÓGICO MANUEL HUERTAS VERGARA EN EL DEPARTAMENTO DE SUCRE</t>
  </si>
  <si>
    <t>ASOCIACION DE AMIGOS DE LA VOZ COMUNITARIA</t>
  </si>
  <si>
    <t>PRESTACIÓN DE SERVICIOS PARA LA DIVULGACIÓN PUBLICITARIA EN MEDIOS RADIALES Y PORTALES DIGITALES, CON EL FIN DE DIFUNDIR EL COMPROMISO INSTITUCIONAL EN EL FORTALECIMIENTO DEL SECTOR CULTURAL DEL DEPARTAMENTO DE SUCRE EN EL MARCO DEL PROYECTO DE FORTALECIMIENTO A FESTIVALES, ENCUENTROS CULTURALES, ARTÍSTICOS Y PATRIMONIALES, CARNAVALES FIESTAS Y FERIAS TRADICIONALES PARA EL 2025 EN EL DEPARTAMENTO DE SUCRE</t>
  </si>
  <si>
    <t>11-26-06-2025</t>
  </si>
  <si>
    <t>61-07-10-2025</t>
  </si>
  <si>
    <t>29-10-10-2025</t>
  </si>
  <si>
    <t>AUNAR ESFUERZOS PARA LA REALIZACION DEL XLI FESTIVAL NACIONAL DE GAITAS “FRANCISCO LLIRENE”, LA UNIVERSIDAD DE LA GAITA</t>
  </si>
  <si>
    <t>OVEJA</t>
  </si>
  <si>
    <t>FESTIVAL NACIONAL DE GAITAS FRANCISCO LLIRENE</t>
  </si>
  <si>
    <t>62-14-10-2025</t>
  </si>
  <si>
    <t>PRESTACIÓN DE SERVICIOS PROFESIONALES PARA BRINDAR APOYO A LA SUPERVISIÓN COMO INGENIERO ELECTRICO PARA EL PROYECTO “MEJORAMIENTO DE SEDES EDUCATIVAS DE LA SUBREGIÓN SAN JORGE Y SABANA, POR UNA EDUCACIÓN DIFERENTE, DEPARTAMENTO DE SUCRE”</t>
  </si>
  <si>
    <t>DOS MESES Y DIECINUEVE DIAS</t>
  </si>
  <si>
    <t xml:space="preserve">UNION DE ESCRITORES </t>
  </si>
  <si>
    <t>AUNAR ESFUERZOS PARA LA REALIZACION DEL XV ENCUENTRO DE ESCRITORES DE SUCRE, QUE SE LLEVARA A CABO EN EL MUNICIPIO DE SINCELEJO, SUCRE</t>
  </si>
  <si>
    <t>30-16-10-2025</t>
  </si>
  <si>
    <t>31-16-10-2025</t>
  </si>
  <si>
    <t>CORPORACIÓN FESTIVAL INTERNACIONAL DE CINE GOLFO DE MORROSQUILLO – FICGO</t>
  </si>
  <si>
    <t>GOLFO DEL MORROSQUILLO</t>
  </si>
  <si>
    <t>AUNAR ESFUERZOS PARA LA REALIZACION DEL QUINTO FESTIVAL INTERNACIONAL DE CINE GOLFO DE MORROQUILLO – FICGO- “CINE CARIBE: LEGADO, IMAGINARIO E IDENTIDAD, SE LLEVARÁ A CABO EN LOS MUNICIPIOS DE TOLU, SAN ONOFRE, COVEÑAS, RINCON DEL MAR Y BERRUGAS, SUCRE</t>
  </si>
  <si>
    <t>63-17-10-2025</t>
  </si>
  <si>
    <t>PRESTACION DE SERVICIOS PARA EL SUMINISTRO DE PAPELERÍA Y ÚTILES DE OFICINA PARA EL FONDO MIXTO DE PROMOCIÓN DE LA CULTURA Y LAS ARTES DE SUCRE</t>
  </si>
  <si>
    <t>CINCO DIAS</t>
  </si>
  <si>
    <t>32-21-10-2025</t>
  </si>
  <si>
    <t>FUNDACION FESTIVAL NAVIDEÑO DE ACORDEONEROS Y COMPOSITORES DE SAN MARCOS SUCRE</t>
  </si>
  <si>
    <t>AUNAR ESFUERZOS PARA LA REALIZACION DEL XXVI FESTIVAL DE ACORDEONEROS, COMPOSITORES Y EXPRESIONES AUTOCTONAS DEL SAN JORGE Y LA MOJANA, QUE DE LLEVARA A CABO EN MUNICIPIO DE SAN MARCOS, SUCRE</t>
  </si>
  <si>
    <t>SAN MARCOS</t>
  </si>
  <si>
    <t>64-22-10-2025</t>
  </si>
  <si>
    <t>NANCY VIVIANA ALDANA ALDANA</t>
  </si>
  <si>
    <t>PRESTACIÓN DE SERVICIOS PROFESIONALES PARA BRINDAR APOYO A LOS PROCESOS ADMINISTRATIVOS Y FINANCIEROS DE LA DIRECCION ADMINISTRATIVA Y FINANICERA DEL FONDO MIXTO DE PROMOCION DE LA CULTURA Y LAS ARTES DE SUCRE</t>
  </si>
  <si>
    <t>33-29-10-2025</t>
  </si>
  <si>
    <t>ENCUENTRO NACIONAL DE BANDAS</t>
  </si>
  <si>
    <t>34-31-10-2025</t>
  </si>
  <si>
    <t>FUNDACION CORAZON COMUNITARIO</t>
  </si>
  <si>
    <t>SANTIAGO APOSTOL</t>
  </si>
  <si>
    <t>35-31-10-2025</t>
  </si>
  <si>
    <t>36-31-10-2025</t>
  </si>
  <si>
    <t>AUNAR ESFUERZOS PARA LA REALIZACION DEL FESTIVAL CULTRAL BRISAS DEL SAN JORGE, QUE DE LLEVARA A CABO EN CORREGIMIENTO DE SANTIAGO APOSTOL DEL MUNICIPIO DE SAN BENITO ABAD, SUCRE</t>
  </si>
  <si>
    <t>FUNDACION FESTIVAL DE ACORDEONEROS Y COMPOSITORES MONTES DE MARIA</t>
  </si>
  <si>
    <t>FUNDACION PARA EL DESARROLLO SOCIAL Y AMBIENTAL DE SUCRE- FUNDESUC</t>
  </si>
  <si>
    <t>AUNAR ESFUERZOS PARA LA REALIZACION FESTIVAL CULTURAL  “SAN PEDRO VIVE SUS TRADICIONES Y LA MÚSICA”, QUE DE LLEVARA A CABO EN EL MUNICIPIO DE SAN PEDRO, SUCRE</t>
  </si>
  <si>
    <t>COLOSO</t>
  </si>
  <si>
    <t>SAN PEDRO</t>
  </si>
  <si>
    <t>AUNAR ESFUERZOS PARA LA REALIZACION DEL XI FESTIVAL MONTES DE MARIA: UNA CULTURA DE PAZ 2025, QUE DE LLEVARA A CABO EN EL MUNICIPIO DE COLOSÓ, SUCRE</t>
  </si>
  <si>
    <t>AUNAR ESFUERZOS PARA LA REALIZACION DEL XL ENCUENTRO NACIONAL DE BANDAS, QUE DE LLEVARA A CABO EN MUNICIPIO DE SINCELEJO, SUCRE</t>
  </si>
  <si>
    <t>37-31-10-2025</t>
  </si>
  <si>
    <t>AUNAR ESFUERZOS PARA LA REALIZACION DEL FESTIVAL DE LA CUMBIA SAMPUESANA, QUE DE LLEVARA A CABO EN EL MUNICIPIO DE SAMPUES, SUCRE</t>
  </si>
  <si>
    <t>FUNDACION PARA EL DESARROLLO SOCIAL DE LA COSTA</t>
  </si>
  <si>
    <t>SAMPUES</t>
  </si>
  <si>
    <t>GRUPO EDITADO S.A.S</t>
  </si>
  <si>
    <t>3 PIMIENTAS KATERING – EVENTOS LOGISTICOS S.A.S</t>
  </si>
  <si>
    <t>ESCUELA DE BELLAS ARTES Y HUMANIDADES DE SUCRE.</t>
  </si>
  <si>
    <t>003-2025</t>
  </si>
  <si>
    <t>65-07-11-2025</t>
  </si>
  <si>
    <t>66-07-11-2025</t>
  </si>
  <si>
    <t>PRESTACION DE SERVICIO LOGISTICOS EN EL MARCO DEL PROYECTO APOYO A LA PROMOCIÓN DE ACTIVIDADES CULTURALES EN EL MARCO DEL XI FESTIVAL CULTURAL EN EL MUNICIPIO DE SINCÉ, DEPARTAMENTO DE SUCRE</t>
  </si>
  <si>
    <t>PRESTACIÓN DE SERVICIOS PARA LA PUBLICACION EN PRENSA ESCTRITA Y PORTALES DIGITALES EN EL MARCO DEL PROYECTO APOYO A LA PROMOCIÓN DE ACTIVIDADES CULTURALES EN EL MARCO DEL XI FESTIVAL CULTURAL EN EL MUNICIPIO DE SINCÉ, DEPARTAMENTO DE SUCRE</t>
  </si>
  <si>
    <t>38-14-11-2025</t>
  </si>
  <si>
    <t>FUNDACION FOLCLORICA SON CAÑAVERAL</t>
  </si>
  <si>
    <t>SAN ANTONIO DE PALMITO</t>
  </si>
  <si>
    <t>AUNAR ESFUERZOS PARA LA REALIZACION DEL III FESTIVAL GASTRONOMICO Y ARTESANAL, “EL ARTE Y EL SASON DE PAIS. HOMENAJE: DIANA DUZON CUELLO”, QUE SE LLEVARA A CABO EN EL MUNICIPIO DE SAN ANTONIO DE PALMITO, SUCRE</t>
  </si>
  <si>
    <t>67-19-11-2025</t>
  </si>
  <si>
    <t>68-19-11-2025</t>
  </si>
  <si>
    <t>69-19-11-2025</t>
  </si>
  <si>
    <t>TURISMO DEL MORROSQUILLO LIMITADA</t>
  </si>
  <si>
    <t>70-28-11-2025</t>
  </si>
  <si>
    <t>PRESTACIÓN DE SERVICIOS ARTISTICOS DE SHOW MUSICAL PARA LAS FIESTAS TRADICIONALES Y CULTURALES DEL CORREGIMIENTO DE SAN ANDRES DE PALOMO MUNICIPIO DE GALERAS- SUCRE</t>
  </si>
  <si>
    <t>39-27-11-2025</t>
  </si>
  <si>
    <t>FUNDACION GRAFYTEX FUNDEGRAFYTEX</t>
  </si>
  <si>
    <t>AUNAR ESFUERZOS PARA LA REALIZACION DEL XIV ENCUENTRO DE GAITAS, PITOS Y TAMBORES 2025, QUE SE LLEVARA A CABO EN EL MUNICIPIO DE SINCELEJO, SUCRE</t>
  </si>
  <si>
    <t>PRESTACIÓN DE SERVICIO PARA EL SUMINISTRO DE TIQUETES AEREOS, ALOJAMIENTO Y TRASLADOS TERRESTRES EN EL MARCO DEL PROYECTO APOYO A LA PROMOCION Y POSICIONAMIENTO EN LA FERIA COLOMBIA SON LAS REGIONES DEL SECTOR ARTESANAL DEL DEPARTAMENTO DE SUCRE</t>
  </si>
  <si>
    <t>PRESTACIÓN DE SERVICIOS PARA LA PUBLICACION EN PRENSA ESCRITA Y PORTALES DIGITALES EN EL MARCO DEL PROYECTO APOYO A LA PROMOCION Y POSICIONAMIENTO EN LA FERIA COLOMBIA SON LAS REGIONES DEL SECTOR ARTESANAL DEL DEPARTAMENTO DE SUCRE</t>
  </si>
  <si>
    <t>PRESTACION DE SERVICIOS LOGISTICOS EN EL MARCO DEL PROYECTO DENOMINADO APOYO A LA PROMOCION Y POSICIONAMIENTO EN LA FERIA COLOMBIA SON LAS REGIONES DEL SECTOR ARTESANAL DEL DEPARTAMENTO DE SUCRE.</t>
  </si>
  <si>
    <t>71-01-12-2025</t>
  </si>
  <si>
    <t>ENRIQUE CARLOS ACOSTA MORENO</t>
  </si>
  <si>
    <t>PRESTACIÓN DE SERVICIOS PARA EL CURSO DE FORMACIÓN DE MÚSICA DE COMPOSICIÓN SABANERA EN EL MARCO DEL PROYECTO FORTALECIMIENTO DE LOS PROCESOS DE FORMACIÓN Y DIFUSIÓN MUSICAL A TRAVÉS DEL PROGRAMA "SONIDOS PARA LA VIDA” DURANTE EL AÑO 2025 EN EL DEPARTAMENTO DE SUCRE</t>
  </si>
  <si>
    <t>72-11-12-2025</t>
  </si>
  <si>
    <t>HORACIO MANUEL AGUIRRE PADILLA</t>
  </si>
  <si>
    <t>PRESTACIÓN DE SERVICIOS ARTISTICOS DE SHOW MUSICAL EN EL MARCO DEL FESTIVAL NACIONAL DEL COROZO QUE SE LLEVARA A CABO EN EL MUNICIPIO DE COROZAL- SUCRE</t>
  </si>
  <si>
    <t>CUATRO DIAS</t>
  </si>
  <si>
    <t>40-11-12-2025</t>
  </si>
  <si>
    <t>AUNAR ESFUERZOS PARA LA REALIZACION DEL FESTIVAL SUCRE PURO CUENTO, ENTRE DECIMAS, GAITAS Y ACORDEONES, POR EL RESCATE DE LA TRADICION ORAL, QUE SE LLEVARA A CABO EN EL MUNICIPIO DE SINCELEJO, SUCRE</t>
  </si>
  <si>
    <t>FUNDACION PARA EL DESARROLLO SOCIAL Y CULTURAL DE LA FAMILIA</t>
  </si>
  <si>
    <t>41-17- 12-2025</t>
  </si>
  <si>
    <t>CORPORACION FERIA Y REINA NACIONAL DEL SOMBRERO VELTIAO</t>
  </si>
  <si>
    <t>AUNAR ESFUERZOS PARA LA REALIZACION DE LA VIGESIMA CUARTA XXIV FERIA NACIONAL DEL SOMBRERO VUELTIAO QUE SE LLEVARA A CABO EN EL MUNICIPIO DE SAMPUES, SUCRE</t>
  </si>
  <si>
    <t>42-19-12-2025</t>
  </si>
  <si>
    <t>AUNAR ESFUERZOS PARA LA REALIZACION DEL FESTIVAL DE LA AGROINDUSTRIA Y EL AJÍ PICANTE XXIII VERSION, QUE SE LLEVARA A CABO EN EL MUNICIPIO DE SAMPUES, SUCRE</t>
  </si>
  <si>
    <t>CORPORACION FESTIVAL DE LA AGROINDUSTRIA Y EL AJÍ PICANTE</t>
  </si>
  <si>
    <t>EL PIÑAL</t>
  </si>
  <si>
    <t>43-23-12-2025</t>
  </si>
  <si>
    <t>AUNAR ESFUERZOS PARA LA REALIZACION DEL III FESTIVAL DE DANZAS TRADICIONALES, HOMENAJE A LA RUEDA DE FANDANGO, QUE SE LLEVARA A CABO EN EL CORREGIMIENTO DE CHAPINERO, COROZAL, SUCRE</t>
  </si>
  <si>
    <t>FUNDACION ARTE SABANERO</t>
  </si>
  <si>
    <t>CHAPINERO</t>
  </si>
  <si>
    <t>73-24-12-2025</t>
  </si>
  <si>
    <t>74-24-12-2025</t>
  </si>
  <si>
    <t>MARY JOHANA PACHECO MORALES</t>
  </si>
  <si>
    <t>“PRESTACIÓN DE SERVICIOS PARA EL SUMINISTRO DE EQUIPOS DE CÓMPUTO Y KITS DIDÁCTICOS PARA LAS BIBLIOTECAS DE LA RED DEPARTAMENTAL DE BIBLIOTECAS PÚBLICAS Y SUMINISTRO DE ELEMENTOS DE DOTACIÓN PARA LA BIBLIOTECA DEPARTAMENTAL DE SUCRE JOSÉ ELÍAS CURY LAMBRAÑO EN EL MARCO DEL PROYECTO FORTALECIMIENTO TECNOLÓGICO Y DIDÁCTICO DE LA RED DEPARTAMENTAL DE BIBLIOTECAS PÚBLICAS DEL DEPARTAMENTO DE SUCRE.”</t>
  </si>
  <si>
    <t>GRUPO EDITADOS S.A.S</t>
  </si>
  <si>
    <t>PRESTACIÓN DE SERVICIOS PARA IMPLEMENTAR ESTRATEGIA DE PUBLICIDAD EN EL MARCO DEL PROYECTO DE FORTALECIMIENTO TECNOLÓGICO Y DIDÁCTICO DE LA RED DEPARTAMENTAL DE BIBLIOTECAS PÚBLICAS DEL DEPARTAMENTO DE SUCRE</t>
  </si>
  <si>
    <t>FUENTE</t>
  </si>
  <si>
    <t>PROYECTO</t>
  </si>
  <si>
    <t>ICLD</t>
  </si>
  <si>
    <t>SIN PROYECTO</t>
  </si>
  <si>
    <t>ESTAMPILLA PRO-CULTURA</t>
  </si>
  <si>
    <t>202400000007062</t>
  </si>
  <si>
    <t>202500000014385</t>
  </si>
  <si>
    <t>202500000011274</t>
  </si>
  <si>
    <t>202500000016943</t>
  </si>
  <si>
    <t>202500000021507</t>
  </si>
  <si>
    <t>202500000021883</t>
  </si>
  <si>
    <t>202500000026876</t>
  </si>
  <si>
    <t>202500000029102</t>
  </si>
  <si>
    <t>REGALÍAS</t>
  </si>
  <si>
    <t>202500000028822</t>
  </si>
  <si>
    <t>2023002700070</t>
  </si>
  <si>
    <t>202500000031494</t>
  </si>
  <si>
    <t>202500000032133</t>
  </si>
  <si>
    <t>202500000032442</t>
  </si>
  <si>
    <t>202500000035205</t>
  </si>
  <si>
    <t>202400000041304</t>
  </si>
  <si>
    <t>202500000042609</t>
  </si>
  <si>
    <t>202500000031648</t>
  </si>
  <si>
    <t>AUNAR ESFUERZOS PARA EL FOMENTO DE LA VALIDACIÓN DE LOS SABERES Y TALENTOS DE LOS ARTISTAS DE SUCRE MEDIANTE LOS PROGRAMAS DE EDUCACIÓN TECNICA LABORAL DE LA ESCUALES DE BELLAS ARTES Y HUMANIDADES DE SUCRE</t>
  </si>
  <si>
    <t>CODIGO DE META</t>
  </si>
  <si>
    <t>MT192</t>
  </si>
  <si>
    <t>MT178</t>
  </si>
  <si>
    <t>TIPO</t>
  </si>
  <si>
    <t>CONVENIO</t>
  </si>
  <si>
    <t>CONTRATO</t>
  </si>
  <si>
    <t>OBJETO</t>
  </si>
  <si>
    <t>ICDE</t>
  </si>
  <si>
    <t>CODIGO META</t>
  </si>
  <si>
    <t>CLASIFICACIÓN RECURSOS</t>
  </si>
  <si>
    <t>BPIN</t>
  </si>
  <si>
    <t>NA</t>
  </si>
  <si>
    <t>MT067</t>
  </si>
  <si>
    <t>MT166</t>
  </si>
  <si>
    <t>EJECUCION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</si>
</sst>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2" formatCode="_-&quot;$&quot;\ * #,##0_-;\-&quot;$&quot;\ * #,##0_-;_-&quot;$&quot;\ * &quot;-&quot;_-;_-@_-"/>
    <numFmt numFmtId="44" formatCode="_-&quot;$&quot;\ * #,##0.00_-;\-&quot;$&quot;\ * #,##0.00_-;_-&quot;$&quot;\ * &quot;-&quot;??_-;_-@_-"/>
    <numFmt numFmtId="164" formatCode="_-&quot;$&quot;* #,##0.00_-;\-&quot;$&quot;* #,##0.00_-;_-&quot;$&quot;* &quot;-&quot;??_-;_-@_-"/>
  </numFmts>
  <fonts count="15" x14ac:knownFonts="1">
    <font>
      <sz val="11"/>
      <color theme="1"/>
      <name val="Calibri"/>
      <family val="2"/>
      <scheme val="minor"/>
    </font>
    <font>
      <sz val="11"/>
      <color theme="1"/>
      <name val="Calibri"/>
      <family val="2"/>
      <scheme val="minor"/>
    </font>
    <font>
      <b/>
      <sz val="9"/>
      <color rgb="FF000000"/>
      <name val="Arial"/>
      <family val="2"/>
    </font>
    <font>
      <b/>
      <sz val="8"/>
      <color rgb="FF000000"/>
      <name val="Arial"/>
      <family val="2"/>
    </font>
    <font>
      <sz val="9"/>
      <color rgb="FF000000"/>
      <name val="Arial"/>
      <family val="2"/>
    </font>
    <font>
      <sz val="8"/>
      <color rgb="FF000000"/>
      <name val="Arial"/>
      <family val="2"/>
    </font>
    <font>
      <sz val="8"/>
      <name val="Calibri"/>
      <family val="2"/>
      <scheme val="minor"/>
    </font>
    <font>
      <b/>
      <sz val="11"/>
      <color theme="1"/>
      <name val="Calibri"/>
      <family val="2"/>
      <scheme val="minor"/>
    </font>
    <font>
      <sz val="8"/>
      <color theme="1"/>
      <name val="Arial"/>
      <family val="2"/>
    </font>
    <font>
      <b/>
      <sz val="9"/>
      <color theme="1"/>
      <name val="Arial"/>
      <family val="2"/>
    </font>
    <font>
      <sz val="9"/>
      <color theme="1"/>
      <name val="Arial"/>
      <family val="2"/>
    </font>
    <font>
      <b/>
      <sz val="14"/>
      <color theme="1"/>
      <name val="Calibri"/>
      <family val="2"/>
      <scheme val="minor"/>
    </font>
    <font>
      <b/>
      <sz val="8"/>
      <color theme="1"/>
      <name val="Arial"/>
      <family val="2"/>
    </font>
    <font>
      <b/>
      <sz val="10"/>
      <color theme="1"/>
      <name val="Arial"/>
      <family val="2"/>
    </font>
    <font>
      <sz val="10"/>
      <color theme="1"/>
      <name val="Arial"/>
      <family val="2"/>
    </font>
  </fonts>
  <fills count="9">
    <fill>
      <patternFill patternType="none"/>
    </fill>
    <fill>
      <patternFill patternType="gray125"/>
    </fill>
    <fill>
      <patternFill patternType="solid">
        <fgColor rgb="FFDDD9C4"/>
        <bgColor rgb="FF000000"/>
      </patternFill>
    </fill>
    <fill>
      <patternFill patternType="solid">
        <fgColor rgb="FFFFFFFF"/>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top/>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42" fontId="1" fillId="0" borderId="0" applyFont="0" applyFill="0" applyBorder="0" applyAlignment="0" applyProtection="0"/>
  </cellStyleXfs>
  <cellXfs count="117">
    <xf numFmtId="0" fontId="0" fillId="0" borderId="0" xfId="0"/>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1" xfId="0" applyBorder="1" applyAlignment="1">
      <alignment horizontal="center" vertical="center"/>
    </xf>
    <xf numFmtId="44" fontId="0" fillId="0" borderId="1" xfId="1" applyFont="1" applyFill="1" applyBorder="1" applyAlignment="1">
      <alignment horizontal="center" vertical="center"/>
    </xf>
    <xf numFmtId="3" fontId="0" fillId="0" borderId="1" xfId="0" applyNumberFormat="1" applyBorder="1" applyAlignment="1">
      <alignment horizontal="center" vertical="center"/>
    </xf>
    <xf numFmtId="0" fontId="0" fillId="7" borderId="1" xfId="0" applyFill="1" applyBorder="1" applyAlignment="1">
      <alignment horizontal="center" vertical="center" wrapText="1"/>
    </xf>
    <xf numFmtId="0" fontId="14" fillId="7" borderId="1" xfId="0" applyFont="1" applyFill="1" applyBorder="1" applyAlignment="1">
      <alignment horizontal="center" vertical="center" wrapText="1"/>
    </xf>
    <xf numFmtId="0" fontId="0" fillId="0" borderId="1" xfId="0" applyBorder="1" applyAlignment="1">
      <alignment horizontal="justify" vertical="center"/>
    </xf>
    <xf numFmtId="0" fontId="0" fillId="0" borderId="0" xfId="0" applyAlignment="1">
      <alignment horizontal="center" vertical="center" wrapText="1"/>
    </xf>
    <xf numFmtId="0" fontId="10"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xf>
    <xf numFmtId="0" fontId="0" fillId="0" borderId="0" xfId="0" applyAlignment="1">
      <alignment vertical="center" wrapText="1"/>
    </xf>
    <xf numFmtId="164" fontId="2" fillId="2" borderId="2" xfId="1" applyNumberFormat="1" applyFont="1" applyFill="1" applyBorder="1" applyAlignment="1">
      <alignment horizontal="center" vertical="center" wrapText="1"/>
    </xf>
    <xf numFmtId="164" fontId="4" fillId="0" borderId="1" xfId="1" applyNumberFormat="1" applyFont="1" applyFill="1" applyBorder="1" applyAlignment="1">
      <alignment vertical="center" wrapText="1"/>
    </xf>
    <xf numFmtId="164" fontId="4" fillId="3" borderId="1" xfId="1" applyNumberFormat="1"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2" fillId="0" borderId="4"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164" fontId="4" fillId="0" borderId="1" xfId="1" applyNumberFormat="1" applyFont="1" applyFill="1" applyBorder="1" applyAlignment="1">
      <alignment horizontal="center" vertical="center" wrapText="1"/>
    </xf>
    <xf numFmtId="0" fontId="9" fillId="6" borderId="4" xfId="0" applyFont="1" applyFill="1" applyBorder="1" applyAlignment="1">
      <alignment horizontal="center" vertical="center" wrapText="1"/>
    </xf>
    <xf numFmtId="0" fontId="8" fillId="6" borderId="1" xfId="0" applyFont="1" applyFill="1" applyBorder="1" applyAlignment="1">
      <alignment horizontal="center" vertical="center" wrapText="1"/>
    </xf>
    <xf numFmtId="44" fontId="8" fillId="6" borderId="1" xfId="1" applyFont="1" applyFill="1" applyBorder="1" applyAlignment="1">
      <alignment horizontal="center" vertical="center" wrapText="1"/>
    </xf>
    <xf numFmtId="44" fontId="10" fillId="6" borderId="1" xfId="1" applyFont="1" applyFill="1" applyBorder="1" applyAlignment="1">
      <alignment horizontal="center" vertical="center" wrapText="1"/>
    </xf>
    <xf numFmtId="0" fontId="12" fillId="0" borderId="4" xfId="0" applyFont="1" applyBorder="1" applyAlignment="1">
      <alignment horizontal="center" vertical="center" wrapText="1"/>
    </xf>
    <xf numFmtId="44" fontId="8" fillId="0" borderId="1" xfId="1" applyFont="1" applyBorder="1" applyAlignment="1">
      <alignment horizontal="center" vertical="center" wrapText="1"/>
    </xf>
    <xf numFmtId="0" fontId="12" fillId="6" borderId="4" xfId="0" applyFont="1" applyFill="1" applyBorder="1" applyAlignment="1">
      <alignment horizontal="center" vertical="center" wrapText="1"/>
    </xf>
    <xf numFmtId="44" fontId="8" fillId="0" borderId="1" xfId="1" applyFont="1" applyFill="1" applyBorder="1" applyAlignment="1">
      <alignment horizontal="center" vertical="center" wrapText="1"/>
    </xf>
    <xf numFmtId="0" fontId="8" fillId="8" borderId="1" xfId="0" applyFont="1" applyFill="1" applyBorder="1" applyAlignment="1">
      <alignment horizontal="center" vertical="center" wrapText="1"/>
    </xf>
    <xf numFmtId="4" fontId="8" fillId="8" borderId="1"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42" fontId="8" fillId="8" borderId="1" xfId="2" applyFont="1" applyFill="1" applyBorder="1" applyAlignment="1">
      <alignment horizontal="center" vertical="center" wrapText="1"/>
    </xf>
    <xf numFmtId="0" fontId="12" fillId="0" borderId="9" xfId="0" applyFont="1" applyBorder="1" applyAlignment="1">
      <alignment horizontal="center" vertical="center" wrapText="1"/>
    </xf>
    <xf numFmtId="0" fontId="8" fillId="0" borderId="10" xfId="0" applyFont="1" applyBorder="1" applyAlignment="1">
      <alignment horizontal="center" vertical="center" wrapText="1"/>
    </xf>
    <xf numFmtId="44" fontId="8" fillId="0" borderId="10" xfId="1" applyFont="1" applyBorder="1" applyAlignment="1">
      <alignment horizontal="center" vertical="center" wrapText="1"/>
    </xf>
    <xf numFmtId="0" fontId="0" fillId="0" borderId="10" xfId="0" applyBorder="1" applyAlignment="1">
      <alignment horizontal="center" vertical="center" wrapText="1"/>
    </xf>
    <xf numFmtId="49" fontId="0" fillId="0" borderId="8" xfId="0" applyNumberFormat="1" applyBorder="1" applyAlignment="1">
      <alignment horizontal="center" vertical="center" wrapText="1"/>
    </xf>
    <xf numFmtId="49" fontId="0" fillId="0" borderId="8" xfId="0" quotePrefix="1" applyNumberFormat="1" applyBorder="1" applyAlignment="1">
      <alignment horizontal="center" vertical="center" wrapText="1"/>
    </xf>
    <xf numFmtId="49" fontId="0" fillId="8" borderId="8" xfId="0" quotePrefix="1" applyNumberFormat="1" applyFill="1" applyBorder="1" applyAlignment="1">
      <alignment horizontal="center" vertical="center" wrapText="1"/>
    </xf>
    <xf numFmtId="0" fontId="2" fillId="0" borderId="10" xfId="0" applyFont="1" applyBorder="1" applyAlignment="1">
      <alignment vertical="center" wrapText="1"/>
    </xf>
    <xf numFmtId="0" fontId="4" fillId="0" borderId="10" xfId="0" applyFont="1" applyBorder="1" applyAlignment="1">
      <alignment vertical="center" wrapText="1"/>
    </xf>
    <xf numFmtId="0" fontId="5" fillId="0" borderId="10" xfId="0" applyFont="1" applyBorder="1" applyAlignment="1">
      <alignment vertical="center" wrapText="1"/>
    </xf>
    <xf numFmtId="164" fontId="4" fillId="0" borderId="10" xfId="1" applyNumberFormat="1" applyFont="1" applyFill="1" applyBorder="1" applyAlignment="1">
      <alignment vertical="center" wrapText="1"/>
    </xf>
    <xf numFmtId="0" fontId="2"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164" fontId="4" fillId="0" borderId="6" xfId="1" applyNumberFormat="1" applyFont="1" applyFill="1" applyBorder="1" applyAlignment="1">
      <alignment horizontal="center" vertical="center" wrapText="1"/>
    </xf>
    <xf numFmtId="0" fontId="8" fillId="0" borderId="6" xfId="0" applyFont="1" applyBorder="1" applyAlignment="1">
      <alignment horizontal="center" vertical="center" wrapText="1"/>
    </xf>
    <xf numFmtId="49" fontId="0" fillId="0" borderId="7" xfId="0" applyNumberFormat="1" applyBorder="1" applyAlignment="1">
      <alignment horizontal="center" vertical="center" wrapText="1"/>
    </xf>
    <xf numFmtId="0" fontId="2" fillId="2" borderId="11" xfId="0" applyFont="1" applyFill="1" applyBorder="1" applyAlignment="1">
      <alignment horizontal="center" vertical="center" wrapText="1"/>
    </xf>
    <xf numFmtId="0" fontId="3" fillId="2" borderId="11" xfId="0" applyFont="1" applyFill="1" applyBorder="1" applyAlignment="1">
      <alignment horizontal="center" vertical="center" wrapText="1"/>
    </xf>
    <xf numFmtId="164" fontId="2" fillId="2" borderId="11" xfId="1" applyNumberFormat="1" applyFont="1" applyFill="1" applyBorder="1" applyAlignment="1">
      <alignment horizontal="center" vertical="center" wrapText="1"/>
    </xf>
    <xf numFmtId="0" fontId="7" fillId="0" borderId="11" xfId="0" applyFont="1" applyBorder="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44" fontId="7" fillId="4" borderId="6" xfId="1" applyFont="1" applyFill="1" applyBorder="1" applyAlignment="1">
      <alignment horizontal="center" vertical="center"/>
    </xf>
    <xf numFmtId="0" fontId="7" fillId="4" borderId="6" xfId="0" applyFont="1" applyFill="1" applyBorder="1" applyAlignment="1">
      <alignment horizontal="center" vertical="center"/>
    </xf>
    <xf numFmtId="0" fontId="7" fillId="0" borderId="12" xfId="0" applyFont="1" applyBorder="1" applyAlignment="1">
      <alignment horizontal="center" vertical="center" wrapText="1"/>
    </xf>
    <xf numFmtId="0" fontId="7" fillId="7" borderId="4" xfId="0" applyFont="1" applyFill="1" applyBorder="1" applyAlignment="1">
      <alignment horizontal="center" vertical="center"/>
    </xf>
    <xf numFmtId="14" fontId="0" fillId="0" borderId="1" xfId="0" applyNumberFormat="1" applyBorder="1" applyAlignment="1">
      <alignment vertical="center"/>
    </xf>
    <xf numFmtId="0" fontId="0" fillId="7" borderId="1" xfId="0" applyFill="1" applyBorder="1" applyAlignment="1">
      <alignment vertical="center" wrapText="1"/>
    </xf>
    <xf numFmtId="44" fontId="0" fillId="0" borderId="1" xfId="1" applyFont="1" applyFill="1" applyBorder="1" applyAlignment="1">
      <alignment vertical="center"/>
    </xf>
    <xf numFmtId="0" fontId="0" fillId="7" borderId="1" xfId="0" applyFill="1" applyBorder="1" applyAlignment="1">
      <alignment vertical="center"/>
    </xf>
    <xf numFmtId="44" fontId="0" fillId="0" borderId="1" xfId="1" applyFont="1" applyBorder="1" applyAlignment="1">
      <alignment vertical="center"/>
    </xf>
    <xf numFmtId="0" fontId="0" fillId="7" borderId="1" xfId="0" applyFill="1" applyBorder="1" applyAlignment="1">
      <alignment horizontal="left" vertical="center" wrapText="1"/>
    </xf>
    <xf numFmtId="44" fontId="0" fillId="0" borderId="1" xfId="1" applyFont="1" applyBorder="1" applyAlignment="1">
      <alignment horizontal="center" vertical="center"/>
    </xf>
    <xf numFmtId="0" fontId="0" fillId="7" borderId="3" xfId="0" applyFill="1" applyBorder="1" applyAlignment="1">
      <alignment vertical="center" wrapText="1"/>
    </xf>
    <xf numFmtId="0" fontId="7" fillId="7" borderId="4" xfId="0" applyFont="1" applyFill="1" applyBorder="1" applyAlignment="1">
      <alignment horizontal="center" vertical="center" wrapText="1"/>
    </xf>
    <xf numFmtId="0" fontId="7" fillId="0" borderId="4" xfId="0" applyFont="1" applyBorder="1" applyAlignment="1">
      <alignment horizontal="center" vertical="center"/>
    </xf>
    <xf numFmtId="14" fontId="0" fillId="0" borderId="8" xfId="0" applyNumberFormat="1" applyBorder="1" applyAlignment="1">
      <alignment vertical="center"/>
    </xf>
    <xf numFmtId="0" fontId="0" fillId="0" borderId="8" xfId="0" applyBorder="1" applyAlignment="1">
      <alignment vertical="center"/>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49" fontId="0" fillId="0" borderId="1" xfId="0" applyNumberFormat="1" applyBorder="1" applyAlignment="1">
      <alignment vertical="center"/>
    </xf>
    <xf numFmtId="49" fontId="0" fillId="0" borderId="1" xfId="0" quotePrefix="1" applyNumberFormat="1" applyBorder="1" applyAlignment="1">
      <alignment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44" fontId="13" fillId="5" borderId="6" xfId="1" applyFont="1" applyFill="1" applyBorder="1" applyAlignment="1">
      <alignment horizontal="center" vertical="center" wrapText="1"/>
    </xf>
    <xf numFmtId="0" fontId="13" fillId="7" borderId="4" xfId="0" applyFont="1" applyFill="1" applyBorder="1" applyAlignment="1">
      <alignment horizontal="center" vertical="center" wrapText="1"/>
    </xf>
    <xf numFmtId="44" fontId="14" fillId="7" borderId="1" xfId="1" applyFont="1" applyFill="1" applyBorder="1" applyAlignment="1">
      <alignment horizontal="center" vertical="center" wrapText="1"/>
    </xf>
    <xf numFmtId="14" fontId="14" fillId="0" borderId="1" xfId="0" applyNumberFormat="1" applyFont="1" applyBorder="1" applyAlignment="1">
      <alignment horizontal="center" vertical="center" wrapText="1"/>
    </xf>
    <xf numFmtId="44" fontId="14" fillId="7" borderId="1" xfId="1" applyFont="1" applyFill="1" applyBorder="1" applyAlignment="1">
      <alignment vertical="center" wrapText="1"/>
    </xf>
    <xf numFmtId="44" fontId="0" fillId="0" borderId="1" xfId="1" applyFont="1" applyBorder="1" applyAlignment="1">
      <alignment vertical="center" wrapText="1"/>
    </xf>
    <xf numFmtId="0" fontId="7" fillId="0" borderId="1" xfId="0" applyFont="1" applyBorder="1" applyAlignment="1">
      <alignment horizontal="center" vertical="center"/>
    </xf>
    <xf numFmtId="0" fontId="7" fillId="0" borderId="15" xfId="0" applyFont="1" applyBorder="1" applyAlignment="1">
      <alignment horizontal="center" vertical="center" wrapText="1"/>
    </xf>
    <xf numFmtId="0" fontId="7" fillId="0" borderId="1" xfId="0" applyFon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quotePrefix="1" applyBorder="1" applyAlignment="1">
      <alignment horizontal="center" vertical="center" wrapText="1"/>
    </xf>
    <xf numFmtId="8" fontId="0" fillId="0" borderId="1" xfId="0" applyNumberFormat="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44" fontId="0" fillId="0" borderId="1" xfId="1" applyFont="1" applyBorder="1" applyAlignment="1">
      <alignment horizontal="center" vertical="center" wrapText="1"/>
    </xf>
    <xf numFmtId="0" fontId="0" fillId="0" borderId="8" xfId="0" applyBorder="1" applyAlignment="1">
      <alignment horizontal="center" vertical="center"/>
    </xf>
    <xf numFmtId="44" fontId="0" fillId="0" borderId="1" xfId="0" applyNumberForma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4" fontId="0" fillId="0" borderId="10" xfId="0" applyNumberFormat="1" applyBorder="1" applyAlignment="1">
      <alignment horizontal="center" vertical="center"/>
    </xf>
    <xf numFmtId="0" fontId="0" fillId="0" borderId="16" xfId="0" applyBorder="1" applyAlignment="1">
      <alignment horizontal="center" vertical="center"/>
    </xf>
    <xf numFmtId="0" fontId="14" fillId="0" borderId="10" xfId="0" quotePrefix="1" applyFont="1" applyBorder="1" applyAlignment="1">
      <alignment horizontal="center" vertical="center" wrapText="1"/>
    </xf>
    <xf numFmtId="0" fontId="2" fillId="2" borderId="1" xfId="0" applyFont="1" applyFill="1" applyBorder="1" applyAlignment="1">
      <alignment horizontal="center" vertical="center" wrapText="1"/>
    </xf>
    <xf numFmtId="0" fontId="11" fillId="4" borderId="1" xfId="0" applyFont="1" applyFill="1" applyBorder="1" applyAlignment="1">
      <alignment horizontal="center" vertical="center"/>
    </xf>
    <xf numFmtId="8" fontId="0" fillId="0" borderId="0" xfId="0" applyNumberFormat="1"/>
  </cellXfs>
  <cellStyles count="3">
    <cellStyle name="Moneda" xfId="1" builtinId="4"/>
    <cellStyle name="Moneda [0]" xfId="2" builtinId="7"/>
    <cellStyle name="Normal" xfId="0" builtinId="0"/>
  </cellStyles>
  <dxfs count="55">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left style="thin">
          <color indexed="64"/>
        </left>
        <top style="thin">
          <color indexed="64"/>
        </top>
      </border>
    </dxf>
    <dxf>
      <alignment vertical="center" textRotation="0" wrapText="1" indent="0" justifyLastLine="0" shrinkToFit="0" readingOrder="0"/>
    </dxf>
    <dxf>
      <alignment vertical="center" textRotation="0" wrapText="1" indent="0" justifyLastLine="0" shrinkToFit="0" readingOrder="0"/>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rder>
    </dxf>
    <dxf>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34" formatCode="_-&quot;$&quot;\ * #,##0.00_-;\-&quot;$&quot;\ * #,##0.00_-;_-&quot;$&quot;\ * &quot;-&quot;??_-;_-@_-"/>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z val="10"/>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numFmt numFmtId="30" formatCode="@"/>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theme="1"/>
        <name val="Arial"/>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medium">
          <color indexed="64"/>
        </bottom>
      </border>
    </dxf>
    <dxf>
      <font>
        <b/>
      </font>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46EDD2-0E50-45E1-8E38-068BEE7E63BC}" name="Tabla1" displayName="Tabla1" ref="A10:I84" totalsRowShown="0" headerRowDxfId="54" dataDxfId="52" headerRowBorderDxfId="53" tableBorderDxfId="51" totalsRowBorderDxfId="50">
  <autoFilter ref="A10:I84" xr:uid="{4546EDD2-0E50-45E1-8E38-068BEE7E63BC}"/>
  <tableColumns count="9">
    <tableColumn id="1" xr3:uid="{AA2511D1-8926-4D8E-9C25-28FBCB717AB3}" name="N° DE CONTRATO " dataDxfId="49"/>
    <tableColumn id="2" xr3:uid="{A8E825A9-14FB-4D0F-89EE-04E7D06274A7}" name="NOMBRE " dataDxfId="48"/>
    <tableColumn id="3" xr3:uid="{F2C4BDB0-0661-415F-ABB4-89BA99914A07}" name="OBJETO " dataDxfId="47"/>
    <tableColumn id="4" xr3:uid="{CD1E2127-9005-4210-A95D-3F4931F20B87}" name=" PRESUPUESTO MENSUAL" dataDxfId="46" dataCellStyle="Moneda"/>
    <tableColumn id="5" xr3:uid="{60170CF7-847B-4EBE-B114-5B78948A4B95}" name="DURACION" dataDxfId="45"/>
    <tableColumn id="6" xr3:uid="{A6A754AC-BDAE-46E1-926A-055F73A78E26}" name="ESTUDIO PREVIO" dataDxfId="44"/>
    <tableColumn id="7" xr3:uid="{EA8D63C2-98FF-4995-B337-842920219B86}" name="FUENTE" dataDxfId="43"/>
    <tableColumn id="8" xr3:uid="{E2EA373D-62AE-4B33-8CFA-D3B433682E7C}" name="PROYECTO" dataDxfId="42"/>
    <tableColumn id="9" xr3:uid="{B461B0AD-12FB-4836-8A74-311654C824A8}" name="CODIGO DE META" dataDxfId="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D089C2-A650-4736-87D4-9AB321985FAD}" name="EjecucionFinancieraFondoMixto" displayName="EjecucionFinancieraFondoMixto" ref="A1:F8" totalsRowShown="0" headerRowDxfId="40" dataDxfId="38" headerRowBorderDxfId="39" tableBorderDxfId="37" totalsRowBorderDxfId="36">
  <autoFilter ref="A1:F8" xr:uid="{6ED089C2-A650-4736-87D4-9AB321985FAD}"/>
  <tableColumns count="6">
    <tableColumn id="1" xr3:uid="{D4CACFA8-BFB7-472D-B0D4-F4BD04B6C5D3}" name="TIPO" dataDxfId="35"/>
    <tableColumn id="2" xr3:uid="{28D6E8FD-9311-41AC-9F52-4A46DD2CA8B5}" name="OBJETO" dataDxfId="34"/>
    <tableColumn id="6" xr3:uid="{2303A9F4-0389-4D41-9CF2-7CB6B4EB1F9F}" name="BPIN" dataDxfId="33"/>
    <tableColumn id="3" xr3:uid="{EC9F3B05-6FEC-4C9B-A009-9758EA01B8E8}" name="CLASIFICACIÓN RECURSOS" dataDxfId="32"/>
    <tableColumn id="4" xr3:uid="{030CB027-415D-467C-8169-5C642C5B1E05}" name="EJECUCION FINANCIERA" dataDxfId="31"/>
    <tableColumn id="5" xr3:uid="{D6B75535-AEF3-449D-B0F3-146B38615E83}" name="CODIGO META" dataDxfId="3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2813DD-977D-4EB7-882F-9B9C071A7770}" name="Tabla2" displayName="Tabla2" ref="A2:L45" totalsRowShown="0" headerRowDxfId="29" dataDxfId="28" tableBorderDxfId="27">
  <autoFilter ref="A2:L45" xr:uid="{AD2813DD-977D-4EB7-882F-9B9C071A7770}"/>
  <tableColumns count="12">
    <tableColumn id="1" xr3:uid="{9E83A9B5-F248-4F20-AB72-2DCA87023814}" name="N° DE CONVENIO" dataDxfId="26"/>
    <tableColumn id="2" xr3:uid="{85B7F918-C5D1-44AA-B0D0-0ABF9DD589C9}" name="OBJETO " dataDxfId="25"/>
    <tableColumn id="3" xr3:uid="{5C62FF72-5938-4D11-8645-B8BA604DF2F2}" name="EJECUTOR" dataDxfId="24"/>
    <tableColumn id="4" xr3:uid="{2B07E66E-6B75-40AD-B494-373CE7706517}" name=" PRESUPUESTO FONDO " dataDxfId="23" dataCellStyle="Moneda"/>
    <tableColumn id="5" xr3:uid="{7645FDEF-EA61-466C-B8FF-BB8D616D02DD}" name="BENEFICIADOS " dataDxfId="22"/>
    <tableColumn id="6" xr3:uid="{0A8F7FD0-89CA-4D74-9D57-F0E4292E9F25}" name="TIPO DE POBLACION" dataDxfId="21"/>
    <tableColumn id="7" xr3:uid="{C3981AE3-F2C2-41EA-89D7-8CA06A858623}" name="MUNICIPIO" dataDxfId="20"/>
    <tableColumn id="8" xr3:uid="{6F59FA85-EFC5-4D89-BAC3-605BF5AB2F22}" name="FECHA DE INICIO " dataDxfId="19"/>
    <tableColumn id="9" xr3:uid="{2D475F01-B1D5-484C-869D-BC6D7B092101}" name="FECHA DE FINALIZACIÓN " dataDxfId="18"/>
    <tableColumn id="10" xr3:uid="{16AE6AE0-B033-4718-BFB0-B417CBA771C9}" name="FUENTE" dataDxfId="17"/>
    <tableColumn id="11" xr3:uid="{2BCFAB9F-333C-474B-82D5-C14504A87284}" name="PROYECTO" dataDxfId="16"/>
    <tableColumn id="12" xr3:uid="{6B7A87FE-7B99-480D-9BA4-A67CAA1FEC1F}" name="CODIGO DE META" dataDxfId="1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FD65BD-4ADB-47A5-B232-2D9F7C0F7BCB}" name="Tabla3" displayName="Tabla3" ref="B2:M5" totalsRowShown="0" headerRowDxfId="14" dataDxfId="13" tableBorderDxfId="12">
  <autoFilter ref="B2:M5" xr:uid="{F0FD65BD-4ADB-47A5-B232-2D9F7C0F7BCB}"/>
  <tableColumns count="12">
    <tableColumn id="1" xr3:uid="{9A9C5332-95FD-4FE8-A7BE-77F3BB1569F2}" name="N° DE CONVENIO" dataDxfId="11"/>
    <tableColumn id="2" xr3:uid="{FD737C93-F3DD-4942-ACDD-C5E79CC85ED5}" name="OBJETO " dataDxfId="10"/>
    <tableColumn id="3" xr3:uid="{29A041DE-77F2-4B1F-8F36-0D31B4526684}" name="EJECUTOR" dataDxfId="9"/>
    <tableColumn id="4" xr3:uid="{3AD7314E-A82D-4143-9FB3-2C2A2E34759D}" name=" PRESUPUESTO FONDO " dataDxfId="8"/>
    <tableColumn id="5" xr3:uid="{DD780301-59E3-4B62-915B-6E8E2F3745FC}" name="BENEFICIADOS " dataDxfId="7"/>
    <tableColumn id="6" xr3:uid="{3FAC7EBB-1820-4C50-95C4-AB14F02C9876}" name="TIPO DE POBLACION" dataDxfId="6"/>
    <tableColumn id="7" xr3:uid="{6A4EF94F-DF00-4164-A8C5-EEF0AF09F3D6}" name="MUNICIPIO" dataDxfId="5"/>
    <tableColumn id="8" xr3:uid="{72F21360-C99C-449C-B104-0A166C8AB5D3}" name="FECHA DE INICIO " dataDxfId="4"/>
    <tableColumn id="9" xr3:uid="{F83D8C32-5681-4B94-873B-4E20162F799A}" name="FECHA DE FINALIZACIÓN " dataDxfId="3"/>
    <tableColumn id="10" xr3:uid="{AA319D8C-AD02-494C-95A9-EF05F69E7C52}" name="FUENTE" dataDxfId="2"/>
    <tableColumn id="11" xr3:uid="{5CBB4953-1E24-4AB9-B9CA-A1DC6F977499}" name="PROYECTO" dataDxfId="1"/>
    <tableColumn id="12" xr3:uid="{9C3E7F67-E7B0-4696-B442-931EA8B620A3}" name="CODIGO DE META" dataDxfId="0"/>
  </tableColumns>
  <tableStyleInfo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65CB-B2E4-47F4-9213-DFA930A203CA}">
  <sheetPr>
    <pageSetUpPr fitToPage="1"/>
  </sheetPr>
  <dimension ref="A1:I89"/>
  <sheetViews>
    <sheetView zoomScale="110" zoomScaleNormal="110" zoomScaleSheetLayoutView="85" workbookViewId="0">
      <selection activeCell="C12" sqref="C12"/>
    </sheetView>
  </sheetViews>
  <sheetFormatPr baseColWidth="10" defaultRowHeight="14.4" x14ac:dyDescent="0.3"/>
  <cols>
    <col min="1" max="1" width="18.88671875" style="18" customWidth="1"/>
    <col min="2" max="2" width="23.21875" style="18" customWidth="1"/>
    <col min="3" max="3" width="50.109375" style="18" customWidth="1"/>
    <col min="4" max="4" width="25.33203125" style="18" customWidth="1"/>
    <col min="5" max="5" width="19.44140625" style="18" customWidth="1"/>
    <col min="6" max="6" width="18.33203125" style="18" customWidth="1"/>
    <col min="7" max="7" width="22.88671875" style="18" customWidth="1"/>
    <col min="8" max="8" width="21" style="18" customWidth="1"/>
    <col min="9" max="9" width="21.5546875" customWidth="1"/>
  </cols>
  <sheetData>
    <row r="1" spans="1:9" x14ac:dyDescent="0.3">
      <c r="A1" s="114">
        <v>2025</v>
      </c>
      <c r="B1" s="114"/>
      <c r="C1" s="114"/>
      <c r="D1" s="114"/>
      <c r="E1" s="114"/>
    </row>
    <row r="2" spans="1:9" ht="15" thickBot="1" x14ac:dyDescent="0.35">
      <c r="A2" s="1" t="s">
        <v>0</v>
      </c>
      <c r="B2" s="1" t="s">
        <v>1</v>
      </c>
      <c r="C2" s="2" t="s">
        <v>2</v>
      </c>
      <c r="D2" s="19" t="s">
        <v>3</v>
      </c>
      <c r="E2" s="1" t="s">
        <v>4</v>
      </c>
    </row>
    <row r="3" spans="1:9" ht="22.8" x14ac:dyDescent="0.3">
      <c r="A3" s="16" t="s">
        <v>7</v>
      </c>
      <c r="B3" s="12" t="s">
        <v>8</v>
      </c>
      <c r="C3" s="13" t="s">
        <v>9</v>
      </c>
      <c r="D3" s="20"/>
      <c r="E3" s="12" t="s">
        <v>6</v>
      </c>
    </row>
    <row r="4" spans="1:9" x14ac:dyDescent="0.3">
      <c r="A4" s="16" t="s">
        <v>10</v>
      </c>
      <c r="B4" s="12" t="s">
        <v>11</v>
      </c>
      <c r="C4" s="13" t="s">
        <v>12</v>
      </c>
      <c r="D4" s="20"/>
      <c r="E4" s="12" t="s">
        <v>6</v>
      </c>
    </row>
    <row r="5" spans="1:9" x14ac:dyDescent="0.3">
      <c r="A5" s="16" t="s">
        <v>13</v>
      </c>
      <c r="B5" s="12" t="s">
        <v>14</v>
      </c>
      <c r="C5" s="13" t="s">
        <v>15</v>
      </c>
      <c r="D5" s="20"/>
      <c r="E5" s="12" t="s">
        <v>6</v>
      </c>
    </row>
    <row r="6" spans="1:9" ht="22.8" x14ac:dyDescent="0.3">
      <c r="A6" s="16" t="s">
        <v>16</v>
      </c>
      <c r="B6" s="14" t="s">
        <v>17</v>
      </c>
      <c r="C6" s="15" t="s">
        <v>18</v>
      </c>
      <c r="D6" s="21"/>
      <c r="E6" s="14" t="s">
        <v>19</v>
      </c>
    </row>
    <row r="7" spans="1:9" ht="22.8" x14ac:dyDescent="0.3">
      <c r="A7" s="16" t="s">
        <v>20</v>
      </c>
      <c r="B7" s="12" t="s">
        <v>21</v>
      </c>
      <c r="C7" s="13" t="s">
        <v>22</v>
      </c>
      <c r="D7" s="20"/>
      <c r="E7" s="12" t="s">
        <v>23</v>
      </c>
    </row>
    <row r="8" spans="1:9" x14ac:dyDescent="0.3">
      <c r="A8" s="16" t="s">
        <v>24</v>
      </c>
      <c r="B8" s="12" t="s">
        <v>25</v>
      </c>
      <c r="C8" s="13" t="s">
        <v>26</v>
      </c>
      <c r="D8" s="20"/>
      <c r="E8" s="12" t="s">
        <v>27</v>
      </c>
    </row>
    <row r="9" spans="1:9" ht="15" thickBot="1" x14ac:dyDescent="0.35">
      <c r="A9" s="49"/>
      <c r="B9" s="50"/>
      <c r="C9" s="51"/>
      <c r="D9" s="52"/>
      <c r="E9" s="50"/>
    </row>
    <row r="10" spans="1:9" ht="26.4" customHeight="1" thickBot="1" x14ac:dyDescent="0.35">
      <c r="A10" s="59" t="s">
        <v>0</v>
      </c>
      <c r="B10" s="59" t="s">
        <v>1</v>
      </c>
      <c r="C10" s="60" t="s">
        <v>2</v>
      </c>
      <c r="D10" s="61" t="s">
        <v>3</v>
      </c>
      <c r="E10" s="59" t="s">
        <v>4</v>
      </c>
      <c r="F10" s="62" t="s">
        <v>46</v>
      </c>
      <c r="G10" s="62" t="s">
        <v>442</v>
      </c>
      <c r="H10" s="62" t="s">
        <v>443</v>
      </c>
      <c r="I10" s="67" t="s">
        <v>466</v>
      </c>
    </row>
    <row r="11" spans="1:9" ht="70.5" customHeight="1" x14ac:dyDescent="0.3">
      <c r="A11" s="53" t="s">
        <v>35</v>
      </c>
      <c r="B11" s="54" t="s">
        <v>5</v>
      </c>
      <c r="C11" s="55" t="s">
        <v>28</v>
      </c>
      <c r="D11" s="56">
        <v>54441600</v>
      </c>
      <c r="E11" s="54" t="s">
        <v>6</v>
      </c>
      <c r="F11" s="57" t="s">
        <v>47</v>
      </c>
      <c r="G11" s="25" t="s">
        <v>444</v>
      </c>
      <c r="H11" s="58" t="s">
        <v>445</v>
      </c>
      <c r="I11" s="9"/>
    </row>
    <row r="12" spans="1:9" ht="70.5" customHeight="1" x14ac:dyDescent="0.3">
      <c r="A12" s="26" t="s">
        <v>36</v>
      </c>
      <c r="B12" s="27" t="s">
        <v>34</v>
      </c>
      <c r="C12" s="28" t="s">
        <v>45</v>
      </c>
      <c r="D12" s="29">
        <v>6996000</v>
      </c>
      <c r="E12" s="27" t="s">
        <v>42</v>
      </c>
      <c r="F12" s="11" t="s">
        <v>47</v>
      </c>
      <c r="G12" s="23" t="s">
        <v>444</v>
      </c>
      <c r="H12" s="46" t="s">
        <v>445</v>
      </c>
      <c r="I12" s="9"/>
    </row>
    <row r="13" spans="1:9" ht="67.5" customHeight="1" x14ac:dyDescent="0.3">
      <c r="A13" s="30" t="s">
        <v>37</v>
      </c>
      <c r="B13" s="10" t="s">
        <v>29</v>
      </c>
      <c r="C13" s="31" t="s">
        <v>33</v>
      </c>
      <c r="D13" s="32">
        <v>69000000</v>
      </c>
      <c r="E13" s="11" t="s">
        <v>32</v>
      </c>
      <c r="F13" s="11" t="s">
        <v>47</v>
      </c>
      <c r="G13" s="23" t="s">
        <v>446</v>
      </c>
      <c r="H13" s="47" t="s">
        <v>447</v>
      </c>
      <c r="I13" s="9"/>
    </row>
    <row r="14" spans="1:9" ht="76.5" customHeight="1" x14ac:dyDescent="0.3">
      <c r="A14" s="30" t="s">
        <v>38</v>
      </c>
      <c r="B14" s="10" t="s">
        <v>30</v>
      </c>
      <c r="C14" s="31" t="s">
        <v>40</v>
      </c>
      <c r="D14" s="32">
        <v>74750000</v>
      </c>
      <c r="E14" s="11" t="s">
        <v>32</v>
      </c>
      <c r="F14" s="11" t="s">
        <v>47</v>
      </c>
      <c r="G14" s="23" t="s">
        <v>446</v>
      </c>
      <c r="H14" s="47" t="s">
        <v>447</v>
      </c>
      <c r="I14" s="9"/>
    </row>
    <row r="15" spans="1:9" ht="58.5" customHeight="1" x14ac:dyDescent="0.3">
      <c r="A15" s="30" t="s">
        <v>39</v>
      </c>
      <c r="B15" s="10" t="s">
        <v>31</v>
      </c>
      <c r="C15" s="31" t="s">
        <v>41</v>
      </c>
      <c r="D15" s="32">
        <v>57500000</v>
      </c>
      <c r="E15" s="11" t="s">
        <v>32</v>
      </c>
      <c r="F15" s="11" t="s">
        <v>47</v>
      </c>
      <c r="G15" s="23" t="s">
        <v>446</v>
      </c>
      <c r="H15" s="47" t="s">
        <v>447</v>
      </c>
      <c r="I15" s="9"/>
    </row>
    <row r="16" spans="1:9" ht="70.5" customHeight="1" x14ac:dyDescent="0.3">
      <c r="A16" s="30" t="s">
        <v>43</v>
      </c>
      <c r="B16" s="10" t="s">
        <v>44</v>
      </c>
      <c r="C16" s="31" t="s">
        <v>48</v>
      </c>
      <c r="D16" s="33">
        <v>74750000</v>
      </c>
      <c r="E16" s="11" t="s">
        <v>32</v>
      </c>
      <c r="F16" s="11" t="s">
        <v>47</v>
      </c>
      <c r="G16" s="23" t="s">
        <v>446</v>
      </c>
      <c r="H16" s="47" t="s">
        <v>447</v>
      </c>
      <c r="I16" s="9"/>
    </row>
    <row r="17" spans="1:9" ht="49.2" customHeight="1" x14ac:dyDescent="0.3">
      <c r="A17" s="34" t="s">
        <v>64</v>
      </c>
      <c r="B17" s="11" t="s">
        <v>62</v>
      </c>
      <c r="C17" s="11" t="s">
        <v>63</v>
      </c>
      <c r="D17" s="35">
        <v>9976261</v>
      </c>
      <c r="E17" s="11" t="s">
        <v>42</v>
      </c>
      <c r="F17" s="11" t="s">
        <v>47</v>
      </c>
      <c r="G17" s="23" t="s">
        <v>444</v>
      </c>
      <c r="H17" s="46" t="s">
        <v>445</v>
      </c>
      <c r="I17" s="9"/>
    </row>
    <row r="18" spans="1:9" ht="30.6" x14ac:dyDescent="0.3">
      <c r="A18" s="36" t="s">
        <v>65</v>
      </c>
      <c r="B18" s="31" t="s">
        <v>66</v>
      </c>
      <c r="C18" s="31" t="s">
        <v>69</v>
      </c>
      <c r="D18" s="32">
        <v>10000000</v>
      </c>
      <c r="E18" s="11" t="s">
        <v>68</v>
      </c>
      <c r="F18" s="11" t="s">
        <v>47</v>
      </c>
      <c r="G18" s="23" t="s">
        <v>446</v>
      </c>
      <c r="H18" s="47" t="s">
        <v>448</v>
      </c>
      <c r="I18" s="9"/>
    </row>
    <row r="19" spans="1:9" ht="30.6" x14ac:dyDescent="0.3">
      <c r="A19" s="36" t="s">
        <v>67</v>
      </c>
      <c r="B19" s="31" t="s">
        <v>71</v>
      </c>
      <c r="C19" s="31" t="s">
        <v>70</v>
      </c>
      <c r="D19" s="32">
        <v>11000000</v>
      </c>
      <c r="E19" s="11" t="s">
        <v>68</v>
      </c>
      <c r="F19" s="11" t="s">
        <v>47</v>
      </c>
      <c r="G19" s="23" t="s">
        <v>446</v>
      </c>
      <c r="H19" s="47" t="s">
        <v>447</v>
      </c>
      <c r="I19" s="9"/>
    </row>
    <row r="20" spans="1:9" ht="52.5" customHeight="1" x14ac:dyDescent="0.3">
      <c r="A20" s="34" t="s">
        <v>72</v>
      </c>
      <c r="B20" s="11" t="s">
        <v>73</v>
      </c>
      <c r="C20" s="11" t="s">
        <v>74</v>
      </c>
      <c r="D20" s="35">
        <v>62964000</v>
      </c>
      <c r="E20" s="11" t="s">
        <v>75</v>
      </c>
      <c r="F20" s="11" t="s">
        <v>47</v>
      </c>
      <c r="G20" s="23" t="s">
        <v>446</v>
      </c>
      <c r="H20" s="47" t="s">
        <v>449</v>
      </c>
      <c r="I20" s="9"/>
    </row>
    <row r="21" spans="1:9" ht="59.25" customHeight="1" x14ac:dyDescent="0.3">
      <c r="A21" s="34" t="s">
        <v>90</v>
      </c>
      <c r="B21" s="11" t="s">
        <v>76</v>
      </c>
      <c r="C21" s="11" t="s">
        <v>77</v>
      </c>
      <c r="D21" s="35">
        <v>57240000</v>
      </c>
      <c r="E21" s="11" t="s">
        <v>75</v>
      </c>
      <c r="F21" s="11" t="s">
        <v>47</v>
      </c>
      <c r="G21" s="23" t="s">
        <v>446</v>
      </c>
      <c r="H21" s="47" t="s">
        <v>449</v>
      </c>
      <c r="I21" s="9"/>
    </row>
    <row r="22" spans="1:9" ht="68.25" customHeight="1" x14ac:dyDescent="0.3">
      <c r="A22" s="34" t="s">
        <v>91</v>
      </c>
      <c r="B22" s="11" t="s">
        <v>89</v>
      </c>
      <c r="C22" s="11" t="s">
        <v>88</v>
      </c>
      <c r="D22" s="35">
        <v>53100000</v>
      </c>
      <c r="E22" s="11" t="s">
        <v>75</v>
      </c>
      <c r="F22" s="11" t="s">
        <v>47</v>
      </c>
      <c r="G22" s="23" t="s">
        <v>446</v>
      </c>
      <c r="H22" s="47" t="s">
        <v>449</v>
      </c>
      <c r="I22" s="9"/>
    </row>
    <row r="23" spans="1:9" ht="68.25" customHeight="1" x14ac:dyDescent="0.3">
      <c r="A23" s="34" t="s">
        <v>92</v>
      </c>
      <c r="B23" s="11" t="s">
        <v>78</v>
      </c>
      <c r="C23" s="11" t="s">
        <v>79</v>
      </c>
      <c r="D23" s="35">
        <v>57240000</v>
      </c>
      <c r="E23" s="11" t="s">
        <v>75</v>
      </c>
      <c r="F23" s="11" t="s">
        <v>47</v>
      </c>
      <c r="G23" s="23" t="s">
        <v>446</v>
      </c>
      <c r="H23" s="47" t="s">
        <v>449</v>
      </c>
      <c r="I23" s="9"/>
    </row>
    <row r="24" spans="1:9" ht="68.25" customHeight="1" x14ac:dyDescent="0.3">
      <c r="A24" s="34" t="s">
        <v>93</v>
      </c>
      <c r="B24" s="11" t="s">
        <v>80</v>
      </c>
      <c r="C24" s="11" t="s">
        <v>81</v>
      </c>
      <c r="D24" s="35">
        <v>57240000</v>
      </c>
      <c r="E24" s="11" t="s">
        <v>75</v>
      </c>
      <c r="F24" s="11" t="s">
        <v>47</v>
      </c>
      <c r="G24" s="23" t="s">
        <v>446</v>
      </c>
      <c r="H24" s="47" t="s">
        <v>449</v>
      </c>
      <c r="I24" s="9"/>
    </row>
    <row r="25" spans="1:9" ht="68.25" customHeight="1" x14ac:dyDescent="0.3">
      <c r="A25" s="34" t="s">
        <v>94</v>
      </c>
      <c r="B25" s="11" t="s">
        <v>86</v>
      </c>
      <c r="C25" s="11" t="s">
        <v>87</v>
      </c>
      <c r="D25" s="35">
        <v>36000000</v>
      </c>
      <c r="E25" s="11" t="s">
        <v>75</v>
      </c>
      <c r="F25" s="11" t="s">
        <v>47</v>
      </c>
      <c r="G25" s="23" t="s">
        <v>446</v>
      </c>
      <c r="H25" s="47" t="s">
        <v>449</v>
      </c>
      <c r="I25" s="9"/>
    </row>
    <row r="26" spans="1:9" ht="60.75" customHeight="1" x14ac:dyDescent="0.3">
      <c r="A26" s="34" t="s">
        <v>95</v>
      </c>
      <c r="B26" s="11" t="s">
        <v>84</v>
      </c>
      <c r="C26" s="11" t="s">
        <v>85</v>
      </c>
      <c r="D26" s="35">
        <v>27000000</v>
      </c>
      <c r="E26" s="11" t="s">
        <v>75</v>
      </c>
      <c r="F26" s="11" t="s">
        <v>47</v>
      </c>
      <c r="G26" s="23" t="s">
        <v>446</v>
      </c>
      <c r="H26" s="47" t="s">
        <v>449</v>
      </c>
      <c r="I26" s="9"/>
    </row>
    <row r="27" spans="1:9" ht="61.2" x14ac:dyDescent="0.3">
      <c r="A27" s="34" t="s">
        <v>96</v>
      </c>
      <c r="B27" s="11" t="s">
        <v>82</v>
      </c>
      <c r="C27" s="11" t="s">
        <v>83</v>
      </c>
      <c r="D27" s="35">
        <v>57240000</v>
      </c>
      <c r="E27" s="11" t="s">
        <v>75</v>
      </c>
      <c r="F27" s="11" t="s">
        <v>47</v>
      </c>
      <c r="G27" s="23" t="s">
        <v>446</v>
      </c>
      <c r="H27" s="47" t="s">
        <v>449</v>
      </c>
      <c r="I27" s="9"/>
    </row>
    <row r="28" spans="1:9" ht="61.2" x14ac:dyDescent="0.3">
      <c r="A28" s="34" t="s">
        <v>97</v>
      </c>
      <c r="B28" s="11" t="s">
        <v>100</v>
      </c>
      <c r="C28" s="11" t="s">
        <v>105</v>
      </c>
      <c r="D28" s="35">
        <v>54677900</v>
      </c>
      <c r="E28" s="11" t="s">
        <v>104</v>
      </c>
      <c r="F28" s="11" t="s">
        <v>47</v>
      </c>
      <c r="G28" s="23" t="s">
        <v>446</v>
      </c>
      <c r="H28" s="47" t="s">
        <v>448</v>
      </c>
      <c r="I28" s="9"/>
    </row>
    <row r="29" spans="1:9" ht="51" x14ac:dyDescent="0.3">
      <c r="A29" s="34" t="s">
        <v>98</v>
      </c>
      <c r="B29" s="11" t="s">
        <v>101</v>
      </c>
      <c r="C29" s="11" t="s">
        <v>106</v>
      </c>
      <c r="D29" s="35">
        <v>47192690</v>
      </c>
      <c r="E29" s="11" t="s">
        <v>104</v>
      </c>
      <c r="F29" s="11" t="s">
        <v>47</v>
      </c>
      <c r="G29" s="23" t="s">
        <v>446</v>
      </c>
      <c r="H29" s="47" t="s">
        <v>448</v>
      </c>
      <c r="I29" s="9"/>
    </row>
    <row r="30" spans="1:9" ht="51" x14ac:dyDescent="0.3">
      <c r="A30" s="34" t="s">
        <v>99</v>
      </c>
      <c r="B30" s="11" t="s">
        <v>102</v>
      </c>
      <c r="C30" s="11" t="s">
        <v>107</v>
      </c>
      <c r="D30" s="35">
        <v>21969730</v>
      </c>
      <c r="E30" s="11" t="s">
        <v>104</v>
      </c>
      <c r="F30" s="11" t="s">
        <v>47</v>
      </c>
      <c r="G30" s="23" t="s">
        <v>446</v>
      </c>
      <c r="H30" s="47" t="s">
        <v>448</v>
      </c>
      <c r="I30" s="9"/>
    </row>
    <row r="31" spans="1:9" ht="86.25" customHeight="1" x14ac:dyDescent="0.3">
      <c r="A31" s="36" t="s">
        <v>110</v>
      </c>
      <c r="B31" s="31" t="s">
        <v>108</v>
      </c>
      <c r="C31" s="31" t="s">
        <v>111</v>
      </c>
      <c r="D31" s="32">
        <v>10000000</v>
      </c>
      <c r="E31" s="11" t="s">
        <v>109</v>
      </c>
      <c r="F31" s="11" t="s">
        <v>47</v>
      </c>
      <c r="G31" s="23" t="s">
        <v>446</v>
      </c>
      <c r="H31" s="47" t="s">
        <v>447</v>
      </c>
      <c r="I31" s="9"/>
    </row>
    <row r="32" spans="1:9" ht="52.5" customHeight="1" x14ac:dyDescent="0.3">
      <c r="A32" s="34" t="s">
        <v>126</v>
      </c>
      <c r="B32" s="11" t="s">
        <v>103</v>
      </c>
      <c r="C32" s="11" t="s">
        <v>125</v>
      </c>
      <c r="D32" s="37">
        <v>54677900</v>
      </c>
      <c r="E32" s="11" t="s">
        <v>104</v>
      </c>
      <c r="F32" s="11" t="s">
        <v>47</v>
      </c>
      <c r="G32" s="23" t="s">
        <v>446</v>
      </c>
      <c r="H32" s="47" t="s">
        <v>448</v>
      </c>
      <c r="I32" s="9"/>
    </row>
    <row r="33" spans="1:9" ht="51" x14ac:dyDescent="0.3">
      <c r="A33" s="34" t="s">
        <v>127</v>
      </c>
      <c r="B33" s="11" t="s">
        <v>112</v>
      </c>
      <c r="C33" s="11" t="s">
        <v>114</v>
      </c>
      <c r="D33" s="35">
        <v>2510000</v>
      </c>
      <c r="E33" s="11" t="s">
        <v>113</v>
      </c>
      <c r="F33" s="11" t="s">
        <v>47</v>
      </c>
      <c r="G33" s="23" t="s">
        <v>444</v>
      </c>
      <c r="H33" s="46" t="s">
        <v>445</v>
      </c>
      <c r="I33" s="9"/>
    </row>
    <row r="34" spans="1:9" ht="30.6" x14ac:dyDescent="0.3">
      <c r="A34" s="36" t="s">
        <v>128</v>
      </c>
      <c r="B34" s="31" t="s">
        <v>122</v>
      </c>
      <c r="C34" s="31" t="s">
        <v>124</v>
      </c>
      <c r="D34" s="32">
        <v>13000000</v>
      </c>
      <c r="E34" s="11" t="s">
        <v>68</v>
      </c>
      <c r="F34" s="11" t="s">
        <v>47</v>
      </c>
      <c r="G34" s="23" t="s">
        <v>446</v>
      </c>
      <c r="H34" s="47" t="s">
        <v>447</v>
      </c>
      <c r="I34" s="9"/>
    </row>
    <row r="35" spans="1:9" ht="39" customHeight="1" x14ac:dyDescent="0.3">
      <c r="A35" s="36" t="s">
        <v>129</v>
      </c>
      <c r="B35" s="31" t="s">
        <v>119</v>
      </c>
      <c r="C35" s="31" t="s">
        <v>120</v>
      </c>
      <c r="D35" s="32">
        <v>9000000</v>
      </c>
      <c r="E35" s="11" t="s">
        <v>68</v>
      </c>
      <c r="F35" s="11" t="s">
        <v>47</v>
      </c>
      <c r="G35" s="23" t="s">
        <v>446</v>
      </c>
      <c r="H35" s="47" t="s">
        <v>447</v>
      </c>
      <c r="I35" s="9"/>
    </row>
    <row r="36" spans="1:9" ht="32.25" customHeight="1" x14ac:dyDescent="0.3">
      <c r="A36" s="36" t="s">
        <v>130</v>
      </c>
      <c r="B36" s="31" t="s">
        <v>121</v>
      </c>
      <c r="C36" s="31" t="s">
        <v>123</v>
      </c>
      <c r="D36" s="32">
        <v>5000000</v>
      </c>
      <c r="E36" s="11" t="s">
        <v>68</v>
      </c>
      <c r="F36" s="11" t="s">
        <v>47</v>
      </c>
      <c r="G36" s="23" t="s">
        <v>446</v>
      </c>
      <c r="H36" s="47" t="s">
        <v>447</v>
      </c>
      <c r="I36" s="9"/>
    </row>
    <row r="37" spans="1:9" ht="57" customHeight="1" x14ac:dyDescent="0.3">
      <c r="A37" s="34" t="s">
        <v>131</v>
      </c>
      <c r="B37" s="11" t="s">
        <v>138</v>
      </c>
      <c r="C37" s="11" t="s">
        <v>137</v>
      </c>
      <c r="D37" s="35">
        <v>35877573</v>
      </c>
      <c r="E37" s="11" t="s">
        <v>75</v>
      </c>
      <c r="F37" s="11" t="s">
        <v>47</v>
      </c>
      <c r="G37" s="23" t="s">
        <v>446</v>
      </c>
      <c r="H37" s="47" t="s">
        <v>450</v>
      </c>
      <c r="I37" s="9"/>
    </row>
    <row r="38" spans="1:9" ht="66.75" customHeight="1" x14ac:dyDescent="0.3">
      <c r="A38" s="34" t="s">
        <v>132</v>
      </c>
      <c r="B38" s="11" t="s">
        <v>140</v>
      </c>
      <c r="C38" s="11" t="s">
        <v>139</v>
      </c>
      <c r="D38" s="35">
        <v>22088385</v>
      </c>
      <c r="E38" s="11" t="s">
        <v>75</v>
      </c>
      <c r="F38" s="11" t="s">
        <v>47</v>
      </c>
      <c r="G38" s="23" t="s">
        <v>446</v>
      </c>
      <c r="H38" s="47" t="s">
        <v>450</v>
      </c>
      <c r="I38" s="9"/>
    </row>
    <row r="39" spans="1:9" ht="52.5" customHeight="1" x14ac:dyDescent="0.3">
      <c r="A39" s="34" t="s">
        <v>133</v>
      </c>
      <c r="B39" s="11" t="s">
        <v>141</v>
      </c>
      <c r="C39" s="11" t="s">
        <v>142</v>
      </c>
      <c r="D39" s="35">
        <v>27233451</v>
      </c>
      <c r="E39" s="11" t="s">
        <v>75</v>
      </c>
      <c r="F39" s="11" t="s">
        <v>47</v>
      </c>
      <c r="G39" s="23" t="s">
        <v>446</v>
      </c>
      <c r="H39" s="47" t="s">
        <v>450</v>
      </c>
      <c r="I39" s="9"/>
    </row>
    <row r="40" spans="1:9" ht="47.25" customHeight="1" x14ac:dyDescent="0.3">
      <c r="A40" s="34" t="s">
        <v>134</v>
      </c>
      <c r="B40" s="11" t="s">
        <v>143</v>
      </c>
      <c r="C40" s="11" t="s">
        <v>144</v>
      </c>
      <c r="D40" s="35">
        <v>17998965</v>
      </c>
      <c r="E40" s="11" t="s">
        <v>75</v>
      </c>
      <c r="F40" s="11" t="s">
        <v>47</v>
      </c>
      <c r="G40" s="23" t="s">
        <v>446</v>
      </c>
      <c r="H40" s="47" t="s">
        <v>450</v>
      </c>
      <c r="I40" s="9"/>
    </row>
    <row r="41" spans="1:9" ht="61.5" customHeight="1" x14ac:dyDescent="0.3">
      <c r="A41" s="36" t="s">
        <v>135</v>
      </c>
      <c r="B41" s="31" t="s">
        <v>136</v>
      </c>
      <c r="C41" s="31" t="s">
        <v>145</v>
      </c>
      <c r="D41" s="32">
        <v>29700000</v>
      </c>
      <c r="E41" s="11" t="s">
        <v>75</v>
      </c>
      <c r="F41" s="11" t="s">
        <v>47</v>
      </c>
      <c r="G41" s="23" t="s">
        <v>446</v>
      </c>
      <c r="H41" s="47" t="s">
        <v>447</v>
      </c>
      <c r="I41" s="9"/>
    </row>
    <row r="42" spans="1:9" ht="37.5" customHeight="1" x14ac:dyDescent="0.3">
      <c r="A42" s="36" t="s">
        <v>150</v>
      </c>
      <c r="B42" s="31" t="s">
        <v>119</v>
      </c>
      <c r="C42" s="31" t="s">
        <v>151</v>
      </c>
      <c r="D42" s="32">
        <v>9000000</v>
      </c>
      <c r="E42" s="11" t="s">
        <v>152</v>
      </c>
      <c r="F42" s="11" t="s">
        <v>47</v>
      </c>
      <c r="G42" s="23" t="s">
        <v>446</v>
      </c>
      <c r="H42" s="47" t="s">
        <v>447</v>
      </c>
      <c r="I42" s="9"/>
    </row>
    <row r="43" spans="1:9" ht="48" customHeight="1" x14ac:dyDescent="0.3">
      <c r="A43" s="34" t="s">
        <v>155</v>
      </c>
      <c r="B43" s="11" t="s">
        <v>153</v>
      </c>
      <c r="C43" s="11" t="s">
        <v>154</v>
      </c>
      <c r="D43" s="35">
        <v>27233451</v>
      </c>
      <c r="E43" s="11" t="s">
        <v>75</v>
      </c>
      <c r="F43" s="11" t="s">
        <v>47</v>
      </c>
      <c r="G43" s="23" t="s">
        <v>446</v>
      </c>
      <c r="H43" s="47" t="s">
        <v>450</v>
      </c>
      <c r="I43" s="9"/>
    </row>
    <row r="44" spans="1:9" ht="61.2" x14ac:dyDescent="0.3">
      <c r="A44" s="34" t="s">
        <v>171</v>
      </c>
      <c r="B44" s="11" t="s">
        <v>173</v>
      </c>
      <c r="C44" s="11" t="s">
        <v>172</v>
      </c>
      <c r="D44" s="35">
        <v>44555204</v>
      </c>
      <c r="E44" s="11" t="s">
        <v>174</v>
      </c>
      <c r="F44" s="11" t="s">
        <v>47</v>
      </c>
      <c r="G44" s="23" t="s">
        <v>446</v>
      </c>
      <c r="H44" s="47" t="s">
        <v>451</v>
      </c>
      <c r="I44" s="9"/>
    </row>
    <row r="45" spans="1:9" ht="48.75" customHeight="1" x14ac:dyDescent="0.3">
      <c r="A45" s="34" t="s">
        <v>179</v>
      </c>
      <c r="B45" s="11" t="s">
        <v>175</v>
      </c>
      <c r="C45" s="11" t="s">
        <v>176</v>
      </c>
      <c r="D45" s="37">
        <v>14024978</v>
      </c>
      <c r="E45" s="11" t="s">
        <v>177</v>
      </c>
      <c r="F45" s="11" t="s">
        <v>47</v>
      </c>
      <c r="G45" s="23" t="s">
        <v>446</v>
      </c>
      <c r="H45" s="47" t="s">
        <v>451</v>
      </c>
      <c r="I45" s="9"/>
    </row>
    <row r="46" spans="1:9" ht="49.5" customHeight="1" x14ac:dyDescent="0.3">
      <c r="A46" s="34" t="s">
        <v>180</v>
      </c>
      <c r="B46" s="11" t="s">
        <v>181</v>
      </c>
      <c r="C46" s="11" t="s">
        <v>182</v>
      </c>
      <c r="D46" s="35">
        <v>10634734</v>
      </c>
      <c r="E46" s="11" t="s">
        <v>177</v>
      </c>
      <c r="F46" s="11" t="s">
        <v>47</v>
      </c>
      <c r="G46" s="23" t="s">
        <v>446</v>
      </c>
      <c r="H46" s="47" t="s">
        <v>451</v>
      </c>
      <c r="I46" s="9"/>
    </row>
    <row r="47" spans="1:9" ht="38.25" customHeight="1" x14ac:dyDescent="0.3">
      <c r="A47" s="34" t="s">
        <v>183</v>
      </c>
      <c r="B47" s="11" t="s">
        <v>185</v>
      </c>
      <c r="C47" s="11" t="s">
        <v>187</v>
      </c>
      <c r="D47" s="35">
        <v>153043017.94999999</v>
      </c>
      <c r="E47" s="11" t="s">
        <v>174</v>
      </c>
      <c r="F47" s="11" t="s">
        <v>47</v>
      </c>
      <c r="G47" s="23" t="s">
        <v>446</v>
      </c>
      <c r="H47" s="47" t="s">
        <v>452</v>
      </c>
      <c r="I47" s="9"/>
    </row>
    <row r="48" spans="1:9" ht="49.5" customHeight="1" x14ac:dyDescent="0.3">
      <c r="A48" s="34" t="s">
        <v>184</v>
      </c>
      <c r="B48" s="11" t="s">
        <v>188</v>
      </c>
      <c r="C48" s="11" t="s">
        <v>189</v>
      </c>
      <c r="D48" s="35">
        <v>84587947.299999997</v>
      </c>
      <c r="E48" s="11" t="s">
        <v>186</v>
      </c>
      <c r="F48" s="11" t="s">
        <v>47</v>
      </c>
      <c r="G48" s="23" t="s">
        <v>446</v>
      </c>
      <c r="H48" s="47" t="s">
        <v>452</v>
      </c>
      <c r="I48" s="9"/>
    </row>
    <row r="49" spans="1:9" ht="39" customHeight="1" x14ac:dyDescent="0.3">
      <c r="A49" s="36" t="s">
        <v>194</v>
      </c>
      <c r="B49" s="31" t="s">
        <v>195</v>
      </c>
      <c r="C49" s="31" t="s">
        <v>196</v>
      </c>
      <c r="D49" s="32">
        <v>8500000</v>
      </c>
      <c r="E49" s="11" t="s">
        <v>197</v>
      </c>
      <c r="F49" s="11" t="s">
        <v>47</v>
      </c>
      <c r="G49" s="23" t="s">
        <v>446</v>
      </c>
      <c r="H49" s="47" t="s">
        <v>448</v>
      </c>
      <c r="I49" s="9"/>
    </row>
    <row r="50" spans="1:9" ht="87" customHeight="1" x14ac:dyDescent="0.3">
      <c r="A50" s="34" t="s">
        <v>198</v>
      </c>
      <c r="B50" s="11" t="s">
        <v>108</v>
      </c>
      <c r="C50" s="11" t="s">
        <v>213</v>
      </c>
      <c r="D50" s="35">
        <v>10000000</v>
      </c>
      <c r="E50" s="11" t="s">
        <v>199</v>
      </c>
      <c r="F50" s="11" t="s">
        <v>47</v>
      </c>
      <c r="G50" s="23" t="s">
        <v>446</v>
      </c>
      <c r="H50" s="47" t="s">
        <v>448</v>
      </c>
      <c r="I50" s="9"/>
    </row>
    <row r="51" spans="1:9" ht="51" customHeight="1" x14ac:dyDescent="0.3">
      <c r="A51" s="34" t="s">
        <v>205</v>
      </c>
      <c r="B51" s="11" t="s">
        <v>208</v>
      </c>
      <c r="C51" s="11" t="s">
        <v>206</v>
      </c>
      <c r="D51" s="35">
        <v>50000000</v>
      </c>
      <c r="E51" s="11" t="s">
        <v>207</v>
      </c>
      <c r="F51" s="11" t="s">
        <v>47</v>
      </c>
      <c r="G51" s="23" t="s">
        <v>446</v>
      </c>
      <c r="H51" s="46" t="s">
        <v>445</v>
      </c>
      <c r="I51" s="23" t="s">
        <v>467</v>
      </c>
    </row>
    <row r="52" spans="1:9" ht="39.75" customHeight="1" x14ac:dyDescent="0.3">
      <c r="A52" s="34" t="s">
        <v>209</v>
      </c>
      <c r="B52" s="11" t="s">
        <v>210</v>
      </c>
      <c r="C52" s="11" t="s">
        <v>211</v>
      </c>
      <c r="D52" s="35">
        <v>10857597</v>
      </c>
      <c r="E52" s="11" t="s">
        <v>212</v>
      </c>
      <c r="F52" s="11" t="s">
        <v>47</v>
      </c>
      <c r="G52" s="23" t="s">
        <v>444</v>
      </c>
      <c r="H52" s="46" t="s">
        <v>445</v>
      </c>
      <c r="I52" s="9"/>
    </row>
    <row r="53" spans="1:9" ht="72.75" customHeight="1" x14ac:dyDescent="0.3">
      <c r="A53" s="34" t="s">
        <v>230</v>
      </c>
      <c r="B53" s="11" t="s">
        <v>219</v>
      </c>
      <c r="C53" s="11" t="s">
        <v>218</v>
      </c>
      <c r="D53" s="35">
        <v>79516668.980000004</v>
      </c>
      <c r="E53" s="11" t="s">
        <v>174</v>
      </c>
      <c r="F53" s="11" t="s">
        <v>47</v>
      </c>
      <c r="G53" s="23" t="s">
        <v>446</v>
      </c>
      <c r="H53" s="47" t="s">
        <v>453</v>
      </c>
      <c r="I53" s="9"/>
    </row>
    <row r="54" spans="1:9" ht="48.75" customHeight="1" x14ac:dyDescent="0.3">
      <c r="A54" s="36" t="s">
        <v>220</v>
      </c>
      <c r="B54" s="31" t="s">
        <v>222</v>
      </c>
      <c r="C54" s="31" t="s">
        <v>221</v>
      </c>
      <c r="D54" s="32">
        <v>9500000</v>
      </c>
      <c r="E54" s="11" t="s">
        <v>68</v>
      </c>
      <c r="F54" s="11" t="s">
        <v>47</v>
      </c>
      <c r="G54" s="23" t="s">
        <v>446</v>
      </c>
      <c r="H54" s="47" t="s">
        <v>447</v>
      </c>
      <c r="I54" s="9"/>
    </row>
    <row r="55" spans="1:9" ht="51.75" customHeight="1" x14ac:dyDescent="0.3">
      <c r="A55" s="34" t="s">
        <v>247</v>
      </c>
      <c r="B55" s="11" t="s">
        <v>249</v>
      </c>
      <c r="C55" s="11" t="s">
        <v>248</v>
      </c>
      <c r="D55" s="35">
        <v>157339930.96000001</v>
      </c>
      <c r="E55" s="11" t="s">
        <v>250</v>
      </c>
      <c r="F55" s="11" t="s">
        <v>47</v>
      </c>
      <c r="G55" s="23" t="s">
        <v>446</v>
      </c>
      <c r="H55" s="47" t="s">
        <v>454</v>
      </c>
      <c r="I55" s="9"/>
    </row>
    <row r="56" spans="1:9" ht="57" customHeight="1" x14ac:dyDescent="0.3">
      <c r="A56" s="34" t="s">
        <v>269</v>
      </c>
      <c r="B56" s="11" t="s">
        <v>272</v>
      </c>
      <c r="C56" s="11" t="s">
        <v>271</v>
      </c>
      <c r="D56" s="35">
        <v>7866666</v>
      </c>
      <c r="E56" s="11" t="s">
        <v>273</v>
      </c>
      <c r="F56" s="11" t="s">
        <v>47</v>
      </c>
      <c r="G56" s="23" t="s">
        <v>455</v>
      </c>
      <c r="H56" s="47" t="s">
        <v>457</v>
      </c>
      <c r="I56" s="9"/>
    </row>
    <row r="57" spans="1:9" ht="72.75" customHeight="1" x14ac:dyDescent="0.3">
      <c r="A57" s="34" t="s">
        <v>258</v>
      </c>
      <c r="B57" s="11" t="s">
        <v>260</v>
      </c>
      <c r="C57" s="11" t="s">
        <v>259</v>
      </c>
      <c r="D57" s="35">
        <v>96011555.019999996</v>
      </c>
      <c r="E57" s="11" t="s">
        <v>174</v>
      </c>
      <c r="F57" s="11" t="s">
        <v>47</v>
      </c>
      <c r="G57" s="23" t="s">
        <v>446</v>
      </c>
      <c r="H57" s="47" t="s">
        <v>456</v>
      </c>
      <c r="I57" s="9"/>
    </row>
    <row r="58" spans="1:9" ht="61.5" customHeight="1" x14ac:dyDescent="0.3">
      <c r="A58" s="34" t="s">
        <v>270</v>
      </c>
      <c r="B58" s="11" t="s">
        <v>261</v>
      </c>
      <c r="C58" s="11" t="s">
        <v>262</v>
      </c>
      <c r="D58" s="35">
        <v>115802626.73999999</v>
      </c>
      <c r="E58" s="11" t="s">
        <v>113</v>
      </c>
      <c r="F58" s="11" t="s">
        <v>47</v>
      </c>
      <c r="G58" s="23" t="s">
        <v>446</v>
      </c>
      <c r="H58" s="47" t="s">
        <v>456</v>
      </c>
      <c r="I58" s="9"/>
    </row>
    <row r="59" spans="1:9" ht="44.25" customHeight="1" x14ac:dyDescent="0.3">
      <c r="A59" s="34" t="s">
        <v>280</v>
      </c>
      <c r="B59" s="11" t="s">
        <v>281</v>
      </c>
      <c r="C59" s="11" t="s">
        <v>282</v>
      </c>
      <c r="D59" s="35">
        <v>92253557.459999993</v>
      </c>
      <c r="E59" s="11" t="s">
        <v>207</v>
      </c>
      <c r="F59" s="11" t="s">
        <v>47</v>
      </c>
      <c r="G59" s="23" t="s">
        <v>446</v>
      </c>
      <c r="H59" s="47" t="s">
        <v>458</v>
      </c>
      <c r="I59" s="9"/>
    </row>
    <row r="60" spans="1:9" ht="57" customHeight="1" x14ac:dyDescent="0.3">
      <c r="A60" s="34" t="s">
        <v>285</v>
      </c>
      <c r="B60" s="11" t="s">
        <v>286</v>
      </c>
      <c r="C60" s="11" t="s">
        <v>287</v>
      </c>
      <c r="D60" s="35">
        <v>135883700.19999999</v>
      </c>
      <c r="E60" s="11" t="s">
        <v>250</v>
      </c>
      <c r="F60" s="11" t="s">
        <v>47</v>
      </c>
      <c r="G60" s="23" t="s">
        <v>446</v>
      </c>
      <c r="H60" s="47" t="s">
        <v>459</v>
      </c>
      <c r="I60" s="9"/>
    </row>
    <row r="61" spans="1:9" ht="41.25" customHeight="1" x14ac:dyDescent="0.3">
      <c r="A61" s="36" t="s">
        <v>298</v>
      </c>
      <c r="B61" s="31" t="s">
        <v>299</v>
      </c>
      <c r="C61" s="31" t="s">
        <v>300</v>
      </c>
      <c r="D61" s="32">
        <v>6000000</v>
      </c>
      <c r="E61" s="11" t="s">
        <v>152</v>
      </c>
      <c r="F61" s="11" t="s">
        <v>47</v>
      </c>
      <c r="G61" s="23" t="s">
        <v>446</v>
      </c>
      <c r="H61" s="47" t="s">
        <v>447</v>
      </c>
      <c r="I61" s="9"/>
    </row>
    <row r="62" spans="1:9" ht="66" customHeight="1" x14ac:dyDescent="0.3">
      <c r="A62" s="34" t="s">
        <v>302</v>
      </c>
      <c r="B62" s="38" t="s">
        <v>301</v>
      </c>
      <c r="C62" s="38" t="s">
        <v>303</v>
      </c>
      <c r="D62" s="39">
        <v>142356760.81999999</v>
      </c>
      <c r="E62" s="38" t="s">
        <v>304</v>
      </c>
      <c r="F62" s="38" t="s">
        <v>47</v>
      </c>
      <c r="G62" s="40" t="s">
        <v>446</v>
      </c>
      <c r="H62" s="48" t="s">
        <v>460</v>
      </c>
      <c r="I62" s="9"/>
    </row>
    <row r="63" spans="1:9" ht="49.5" customHeight="1" x14ac:dyDescent="0.3">
      <c r="A63" s="34" t="s">
        <v>315</v>
      </c>
      <c r="B63" s="11" t="s">
        <v>317</v>
      </c>
      <c r="C63" s="11" t="s">
        <v>316</v>
      </c>
      <c r="D63" s="35">
        <v>4682850</v>
      </c>
      <c r="E63" s="11" t="s">
        <v>152</v>
      </c>
      <c r="F63" s="11" t="s">
        <v>47</v>
      </c>
      <c r="G63" s="23" t="s">
        <v>444</v>
      </c>
      <c r="H63" s="46" t="s">
        <v>445</v>
      </c>
      <c r="I63" s="9"/>
    </row>
    <row r="64" spans="1:9" ht="71.25" customHeight="1" x14ac:dyDescent="0.3">
      <c r="A64" s="34" t="s">
        <v>318</v>
      </c>
      <c r="B64" s="11" t="s">
        <v>319</v>
      </c>
      <c r="C64" s="11" t="s">
        <v>320</v>
      </c>
      <c r="D64" s="35">
        <v>35311476.159999996</v>
      </c>
      <c r="E64" s="11" t="s">
        <v>174</v>
      </c>
      <c r="F64" s="11" t="s">
        <v>325</v>
      </c>
      <c r="G64" s="23" t="s">
        <v>446</v>
      </c>
      <c r="H64" s="46" t="s">
        <v>445</v>
      </c>
      <c r="I64" s="23" t="s">
        <v>467</v>
      </c>
    </row>
    <row r="65" spans="1:9" ht="49.5" customHeight="1" x14ac:dyDescent="0.3">
      <c r="A65" s="34" t="s">
        <v>331</v>
      </c>
      <c r="B65" s="11" t="s">
        <v>326</v>
      </c>
      <c r="C65" s="11" t="s">
        <v>327</v>
      </c>
      <c r="D65" s="35">
        <v>6000000</v>
      </c>
      <c r="E65" s="11" t="s">
        <v>177</v>
      </c>
      <c r="F65" s="11" t="s">
        <v>47</v>
      </c>
      <c r="G65" s="23" t="s">
        <v>444</v>
      </c>
      <c r="H65" s="46" t="s">
        <v>445</v>
      </c>
      <c r="I65" s="9"/>
    </row>
    <row r="66" spans="1:9" ht="42" customHeight="1" x14ac:dyDescent="0.3">
      <c r="A66" s="34" t="s">
        <v>332</v>
      </c>
      <c r="B66" s="38" t="s">
        <v>286</v>
      </c>
      <c r="C66" s="38" t="s">
        <v>337</v>
      </c>
      <c r="D66" s="41">
        <v>115659340</v>
      </c>
      <c r="E66" s="38" t="s">
        <v>113</v>
      </c>
      <c r="F66" s="38" t="s">
        <v>47</v>
      </c>
      <c r="G66" s="40" t="s">
        <v>446</v>
      </c>
      <c r="H66" s="48" t="s">
        <v>461</v>
      </c>
      <c r="I66" s="9"/>
    </row>
    <row r="67" spans="1:9" ht="54.75" customHeight="1" x14ac:dyDescent="0.3">
      <c r="A67" s="34" t="s">
        <v>333</v>
      </c>
      <c r="B67" s="38" t="s">
        <v>108</v>
      </c>
      <c r="C67" s="38" t="s">
        <v>336</v>
      </c>
      <c r="D67" s="41">
        <v>10000000</v>
      </c>
      <c r="E67" s="38" t="s">
        <v>113</v>
      </c>
      <c r="F67" s="38" t="s">
        <v>47</v>
      </c>
      <c r="G67" s="40" t="s">
        <v>446</v>
      </c>
      <c r="H67" s="48" t="s">
        <v>461</v>
      </c>
      <c r="I67" s="9"/>
    </row>
    <row r="68" spans="1:9" ht="42.75" customHeight="1" x14ac:dyDescent="0.3">
      <c r="A68" s="34" t="s">
        <v>334</v>
      </c>
      <c r="B68" s="38" t="s">
        <v>335</v>
      </c>
      <c r="C68" s="38" t="s">
        <v>338</v>
      </c>
      <c r="D68" s="41">
        <v>24380530</v>
      </c>
      <c r="E68" s="38" t="s">
        <v>113</v>
      </c>
      <c r="F68" s="38" t="s">
        <v>47</v>
      </c>
      <c r="G68" s="40" t="s">
        <v>446</v>
      </c>
      <c r="H68" s="48" t="s">
        <v>461</v>
      </c>
      <c r="I68" s="9"/>
    </row>
    <row r="69" spans="1:9" ht="96" customHeight="1" x14ac:dyDescent="0.3">
      <c r="A69" s="34" t="s">
        <v>339</v>
      </c>
      <c r="B69" s="11" t="s">
        <v>219</v>
      </c>
      <c r="C69" s="11" t="s">
        <v>343</v>
      </c>
      <c r="D69" s="23"/>
      <c r="E69" s="23"/>
      <c r="F69" s="23"/>
      <c r="G69" s="23"/>
      <c r="H69" s="46"/>
      <c r="I69" s="9"/>
    </row>
    <row r="70" spans="1:9" ht="108" customHeight="1" x14ac:dyDescent="0.3">
      <c r="A70" s="34" t="s">
        <v>340</v>
      </c>
      <c r="B70" s="11" t="s">
        <v>341</v>
      </c>
      <c r="C70" s="11" t="s">
        <v>342</v>
      </c>
      <c r="D70" s="23"/>
      <c r="E70" s="23"/>
      <c r="F70" s="23"/>
      <c r="G70" s="23"/>
      <c r="H70" s="46"/>
      <c r="I70" s="9"/>
    </row>
    <row r="71" spans="1:9" ht="86.25" customHeight="1" x14ac:dyDescent="0.3">
      <c r="A71" s="36" t="s">
        <v>347</v>
      </c>
      <c r="B71" s="31" t="s">
        <v>344</v>
      </c>
      <c r="C71" s="31" t="s">
        <v>345</v>
      </c>
      <c r="D71" s="37">
        <v>10230630</v>
      </c>
      <c r="E71" s="11" t="s">
        <v>177</v>
      </c>
      <c r="F71" s="11" t="s">
        <v>47</v>
      </c>
      <c r="G71" s="23" t="s">
        <v>446</v>
      </c>
      <c r="H71" s="47" t="s">
        <v>447</v>
      </c>
      <c r="I71" s="9"/>
    </row>
    <row r="72" spans="1:9" ht="69.75" customHeight="1" x14ac:dyDescent="0.3">
      <c r="A72" s="34" t="s">
        <v>352</v>
      </c>
      <c r="B72" s="11" t="s">
        <v>272</v>
      </c>
      <c r="C72" s="11" t="s">
        <v>353</v>
      </c>
      <c r="D72" s="35">
        <v>10533333</v>
      </c>
      <c r="E72" s="11" t="s">
        <v>354</v>
      </c>
      <c r="F72" s="11" t="s">
        <v>47</v>
      </c>
      <c r="G72" s="23" t="s">
        <v>455</v>
      </c>
      <c r="H72" s="47" t="s">
        <v>457</v>
      </c>
      <c r="I72" s="9"/>
    </row>
    <row r="73" spans="1:9" ht="38.25" customHeight="1" x14ac:dyDescent="0.3">
      <c r="A73" s="34" t="s">
        <v>362</v>
      </c>
      <c r="B73" s="11" t="s">
        <v>317</v>
      </c>
      <c r="C73" s="11" t="s">
        <v>363</v>
      </c>
      <c r="D73" s="37">
        <v>12399100</v>
      </c>
      <c r="E73" s="11" t="s">
        <v>364</v>
      </c>
      <c r="F73" s="11" t="s">
        <v>47</v>
      </c>
      <c r="G73" s="23" t="s">
        <v>444</v>
      </c>
      <c r="H73" s="46" t="s">
        <v>445</v>
      </c>
      <c r="I73" s="9"/>
    </row>
    <row r="74" spans="1:9" ht="58.5" customHeight="1" x14ac:dyDescent="0.3">
      <c r="A74" s="34" t="s">
        <v>369</v>
      </c>
      <c r="B74" s="11" t="s">
        <v>370</v>
      </c>
      <c r="C74" s="11" t="s">
        <v>371</v>
      </c>
      <c r="D74" s="35">
        <v>8000000</v>
      </c>
      <c r="E74" s="11" t="s">
        <v>177</v>
      </c>
      <c r="F74" s="11" t="s">
        <v>47</v>
      </c>
      <c r="G74" s="23" t="s">
        <v>444</v>
      </c>
      <c r="H74" s="46" t="s">
        <v>445</v>
      </c>
      <c r="I74" s="9"/>
    </row>
    <row r="75" spans="1:9" ht="54.75" customHeight="1" x14ac:dyDescent="0.3">
      <c r="A75" s="34" t="s">
        <v>395</v>
      </c>
      <c r="B75" s="11" t="s">
        <v>392</v>
      </c>
      <c r="C75" s="11" t="s">
        <v>397</v>
      </c>
      <c r="D75" s="37">
        <v>400910609.67000002</v>
      </c>
      <c r="E75" s="11" t="s">
        <v>364</v>
      </c>
      <c r="F75" s="11" t="s">
        <v>47</v>
      </c>
      <c r="G75" s="23" t="s">
        <v>446</v>
      </c>
      <c r="H75" s="47" t="s">
        <v>462</v>
      </c>
      <c r="I75" s="9"/>
    </row>
    <row r="76" spans="1:9" ht="58.5" customHeight="1" x14ac:dyDescent="0.3">
      <c r="A76" s="34" t="s">
        <v>396</v>
      </c>
      <c r="B76" s="11" t="s">
        <v>391</v>
      </c>
      <c r="C76" s="11" t="s">
        <v>398</v>
      </c>
      <c r="D76" s="37">
        <v>25000000</v>
      </c>
      <c r="E76" s="11" t="s">
        <v>364</v>
      </c>
      <c r="F76" s="11" t="s">
        <v>47</v>
      </c>
      <c r="G76" s="23" t="s">
        <v>446</v>
      </c>
      <c r="H76" s="47" t="s">
        <v>462</v>
      </c>
      <c r="I76" s="9"/>
    </row>
    <row r="77" spans="1:9" ht="55.5" customHeight="1" x14ac:dyDescent="0.3">
      <c r="A77" s="34" t="s">
        <v>403</v>
      </c>
      <c r="B77" s="11" t="s">
        <v>406</v>
      </c>
      <c r="C77" s="11" t="s">
        <v>412</v>
      </c>
      <c r="D77" s="35">
        <v>34261920</v>
      </c>
      <c r="E77" s="11" t="s">
        <v>364</v>
      </c>
      <c r="F77" s="11" t="s">
        <v>47</v>
      </c>
      <c r="G77" s="23" t="s">
        <v>446</v>
      </c>
      <c r="H77" s="46" t="s">
        <v>463</v>
      </c>
      <c r="I77" s="9"/>
    </row>
    <row r="78" spans="1:9" ht="53.25" customHeight="1" x14ac:dyDescent="0.3">
      <c r="A78" s="34" t="s">
        <v>404</v>
      </c>
      <c r="B78" s="11" t="s">
        <v>391</v>
      </c>
      <c r="C78" s="11" t="s">
        <v>413</v>
      </c>
      <c r="D78" s="35">
        <v>14500000</v>
      </c>
      <c r="E78" s="11" t="s">
        <v>364</v>
      </c>
      <c r="F78" s="11" t="s">
        <v>47</v>
      </c>
      <c r="G78" s="23" t="s">
        <v>446</v>
      </c>
      <c r="H78" s="46" t="s">
        <v>463</v>
      </c>
      <c r="I78" s="9"/>
    </row>
    <row r="79" spans="1:9" ht="62.25" customHeight="1" x14ac:dyDescent="0.3">
      <c r="A79" s="34" t="s">
        <v>405</v>
      </c>
      <c r="B79" s="11" t="s">
        <v>341</v>
      </c>
      <c r="C79" s="11" t="s">
        <v>414</v>
      </c>
      <c r="D79" s="35">
        <v>18695962</v>
      </c>
      <c r="E79" s="11" t="s">
        <v>364</v>
      </c>
      <c r="F79" s="11" t="s">
        <v>47</v>
      </c>
      <c r="G79" s="23" t="s">
        <v>446</v>
      </c>
      <c r="H79" s="46" t="s">
        <v>463</v>
      </c>
      <c r="I79" s="9"/>
    </row>
    <row r="80" spans="1:9" ht="42.75" customHeight="1" x14ac:dyDescent="0.3">
      <c r="A80" s="36" t="s">
        <v>407</v>
      </c>
      <c r="B80" s="31" t="s">
        <v>119</v>
      </c>
      <c r="C80" s="31" t="s">
        <v>408</v>
      </c>
      <c r="D80" s="35">
        <v>10000000</v>
      </c>
      <c r="E80" s="11" t="s">
        <v>304</v>
      </c>
      <c r="F80" s="11" t="s">
        <v>47</v>
      </c>
      <c r="G80" s="23" t="s">
        <v>446</v>
      </c>
      <c r="H80" s="47" t="s">
        <v>447</v>
      </c>
      <c r="I80" s="9"/>
    </row>
    <row r="81" spans="1:9" ht="62.25" customHeight="1" x14ac:dyDescent="0.3">
      <c r="A81" s="34" t="s">
        <v>415</v>
      </c>
      <c r="B81" s="11" t="s">
        <v>416</v>
      </c>
      <c r="C81" s="11" t="s">
        <v>417</v>
      </c>
      <c r="D81" s="35">
        <v>9000000</v>
      </c>
      <c r="E81" s="11" t="s">
        <v>174</v>
      </c>
      <c r="F81" s="11" t="s">
        <v>47</v>
      </c>
      <c r="G81" s="23" t="s">
        <v>446</v>
      </c>
      <c r="H81" s="46" t="s">
        <v>464</v>
      </c>
      <c r="I81" s="9"/>
    </row>
    <row r="82" spans="1:9" ht="40.5" customHeight="1" x14ac:dyDescent="0.3">
      <c r="A82" s="36" t="s">
        <v>418</v>
      </c>
      <c r="B82" s="31" t="s">
        <v>419</v>
      </c>
      <c r="C82" s="31" t="s">
        <v>420</v>
      </c>
      <c r="D82" s="37">
        <v>8000000</v>
      </c>
      <c r="E82" s="11" t="s">
        <v>421</v>
      </c>
      <c r="F82" s="11"/>
      <c r="G82" s="23" t="s">
        <v>446</v>
      </c>
      <c r="H82" s="46" t="s">
        <v>464</v>
      </c>
      <c r="I82" s="9"/>
    </row>
    <row r="83" spans="1:9" ht="88.5" customHeight="1" x14ac:dyDescent="0.3">
      <c r="A83" s="34" t="s">
        <v>436</v>
      </c>
      <c r="B83" s="11" t="s">
        <v>438</v>
      </c>
      <c r="C83" s="11" t="s">
        <v>439</v>
      </c>
      <c r="D83" s="35">
        <v>290495819</v>
      </c>
      <c r="E83" s="11"/>
      <c r="F83" s="23"/>
      <c r="G83" s="23" t="s">
        <v>446</v>
      </c>
      <c r="H83" s="46" t="s">
        <v>445</v>
      </c>
      <c r="I83" s="23" t="s">
        <v>468</v>
      </c>
    </row>
    <row r="84" spans="1:9" ht="49.5" customHeight="1" x14ac:dyDescent="0.3">
      <c r="A84" s="42" t="s">
        <v>437</v>
      </c>
      <c r="B84" s="43" t="s">
        <v>440</v>
      </c>
      <c r="C84" s="43" t="s">
        <v>441</v>
      </c>
      <c r="D84" s="44">
        <v>40000000</v>
      </c>
      <c r="E84" s="43"/>
      <c r="F84" s="45"/>
      <c r="G84" s="23" t="s">
        <v>446</v>
      </c>
      <c r="H84" s="46" t="s">
        <v>445</v>
      </c>
      <c r="I84" s="23" t="s">
        <v>468</v>
      </c>
    </row>
    <row r="87" spans="1:9" x14ac:dyDescent="0.3">
      <c r="D87" s="101">
        <v>415807295.16000003</v>
      </c>
    </row>
    <row r="88" spans="1:9" x14ac:dyDescent="0.3">
      <c r="D88" s="95">
        <v>595600824</v>
      </c>
    </row>
    <row r="89" spans="1:9" x14ac:dyDescent="0.3">
      <c r="D89" s="101">
        <f>D87+D88</f>
        <v>1011408119.1600001</v>
      </c>
    </row>
  </sheetData>
  <mergeCells count="1">
    <mergeCell ref="A1:E1"/>
  </mergeCells>
  <phoneticPr fontId="6" type="noConversion"/>
  <pageMargins left="0.7" right="0.7" top="0.75" bottom="0.75" header="0.3" footer="0.3"/>
  <pageSetup scale="62" fitToHeight="0" orientation="landscape"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A100D-347B-445B-B2BF-5FE30BB5B8D9}">
  <dimension ref="A1:F13"/>
  <sheetViews>
    <sheetView tabSelected="1" zoomScale="145" zoomScaleNormal="145" workbookViewId="0">
      <selection activeCell="D10" sqref="D10"/>
    </sheetView>
  </sheetViews>
  <sheetFormatPr baseColWidth="10" defaultRowHeight="14.4" x14ac:dyDescent="0.3"/>
  <cols>
    <col min="2" max="2" width="27" customWidth="1"/>
    <col min="3" max="3" width="13.88671875" customWidth="1"/>
    <col min="4" max="4" width="19.5546875" customWidth="1"/>
    <col min="5" max="5" width="22.33203125" customWidth="1"/>
    <col min="6" max="6" width="14.44140625" customWidth="1"/>
  </cols>
  <sheetData>
    <row r="1" spans="1:6" x14ac:dyDescent="0.3">
      <c r="A1" s="102" t="s">
        <v>469</v>
      </c>
      <c r="B1" s="103" t="s">
        <v>472</v>
      </c>
      <c r="C1" s="103" t="s">
        <v>476</v>
      </c>
      <c r="D1" s="103" t="s">
        <v>475</v>
      </c>
      <c r="E1" s="103" t="s">
        <v>480</v>
      </c>
      <c r="F1" s="104" t="s">
        <v>474</v>
      </c>
    </row>
    <row r="2" spans="1:6" ht="25.05" customHeight="1" x14ac:dyDescent="0.3">
      <c r="A2" s="105" t="s">
        <v>470</v>
      </c>
      <c r="B2" s="86" t="s">
        <v>465</v>
      </c>
      <c r="C2" s="86" t="s">
        <v>477</v>
      </c>
      <c r="D2" s="3" t="s">
        <v>473</v>
      </c>
      <c r="E2" s="106">
        <v>595600824</v>
      </c>
      <c r="F2" s="107" t="s">
        <v>479</v>
      </c>
    </row>
    <row r="3" spans="1:6" x14ac:dyDescent="0.3">
      <c r="A3" s="105" t="s">
        <v>471</v>
      </c>
      <c r="B3" s="3" t="s">
        <v>206</v>
      </c>
      <c r="C3" s="86" t="s">
        <v>477</v>
      </c>
      <c r="D3" s="3" t="s">
        <v>473</v>
      </c>
      <c r="E3" s="108">
        <v>50000000</v>
      </c>
      <c r="F3" s="107" t="s">
        <v>467</v>
      </c>
    </row>
    <row r="4" spans="1:6" x14ac:dyDescent="0.3">
      <c r="A4" s="105" t="s">
        <v>471</v>
      </c>
      <c r="B4" s="3" t="s">
        <v>320</v>
      </c>
      <c r="C4" s="86" t="s">
        <v>477</v>
      </c>
      <c r="D4" s="3" t="s">
        <v>473</v>
      </c>
      <c r="E4" s="108">
        <v>35311476.159999996</v>
      </c>
      <c r="F4" s="107" t="s">
        <v>467</v>
      </c>
    </row>
    <row r="5" spans="1:6" x14ac:dyDescent="0.3">
      <c r="A5" s="105" t="s">
        <v>471</v>
      </c>
      <c r="B5" s="3" t="s">
        <v>439</v>
      </c>
      <c r="C5" s="86" t="s">
        <v>477</v>
      </c>
      <c r="D5" s="3" t="s">
        <v>473</v>
      </c>
      <c r="E5" s="108">
        <v>290495819</v>
      </c>
      <c r="F5" s="107" t="s">
        <v>468</v>
      </c>
    </row>
    <row r="6" spans="1:6" x14ac:dyDescent="0.3">
      <c r="A6" s="109" t="s">
        <v>471</v>
      </c>
      <c r="B6" s="110" t="s">
        <v>441</v>
      </c>
      <c r="C6" s="86" t="s">
        <v>477</v>
      </c>
      <c r="D6" s="110" t="s">
        <v>473</v>
      </c>
      <c r="E6" s="111">
        <v>40000000</v>
      </c>
      <c r="F6" s="112" t="s">
        <v>468</v>
      </c>
    </row>
    <row r="7" spans="1:6" ht="26.4" x14ac:dyDescent="0.3">
      <c r="A7" s="109" t="s">
        <v>471</v>
      </c>
      <c r="B7" s="110" t="s">
        <v>271</v>
      </c>
      <c r="C7" s="113" t="s">
        <v>457</v>
      </c>
      <c r="D7" s="110" t="s">
        <v>455</v>
      </c>
      <c r="E7" s="111">
        <v>7866666</v>
      </c>
      <c r="F7" s="112" t="s">
        <v>478</v>
      </c>
    </row>
    <row r="8" spans="1:6" ht="26.4" x14ac:dyDescent="0.3">
      <c r="A8" s="109" t="s">
        <v>471</v>
      </c>
      <c r="B8" s="110" t="s">
        <v>353</v>
      </c>
      <c r="C8" s="113" t="s">
        <v>457</v>
      </c>
      <c r="D8" s="110" t="s">
        <v>455</v>
      </c>
      <c r="E8" s="111">
        <v>10533333</v>
      </c>
      <c r="F8" s="112" t="s">
        <v>478</v>
      </c>
    </row>
    <row r="12" spans="1:6" x14ac:dyDescent="0.3">
      <c r="E12" s="116"/>
    </row>
    <row r="13" spans="1:6" x14ac:dyDescent="0.3">
      <c r="E13" s="116"/>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96C3-8331-4116-9597-D79B8835B1FB}">
  <sheetPr>
    <pageSetUpPr fitToPage="1"/>
  </sheetPr>
  <dimension ref="A1:L53"/>
  <sheetViews>
    <sheetView zoomScaleNormal="100" workbookViewId="0">
      <selection activeCell="L3" sqref="L3"/>
    </sheetView>
  </sheetViews>
  <sheetFormatPr baseColWidth="10" defaultRowHeight="14.4" x14ac:dyDescent="0.3"/>
  <cols>
    <col min="1" max="1" width="22.44140625" customWidth="1"/>
    <col min="2" max="2" width="54.33203125" customWidth="1"/>
    <col min="3" max="3" width="32" customWidth="1"/>
    <col min="4" max="4" width="24" customWidth="1"/>
    <col min="5" max="5" width="18.44140625" customWidth="1"/>
    <col min="6" max="6" width="23.44140625" customWidth="1"/>
    <col min="7" max="7" width="16" customWidth="1"/>
    <col min="8" max="8" width="17.33203125" customWidth="1"/>
    <col min="9" max="9" width="23.88671875" customWidth="1"/>
    <col min="10" max="11" width="23.21875" customWidth="1"/>
    <col min="12" max="12" width="22.33203125" customWidth="1"/>
  </cols>
  <sheetData>
    <row r="1" spans="1:12" ht="18" x14ac:dyDescent="0.3">
      <c r="A1" s="115">
        <v>2025</v>
      </c>
      <c r="B1" s="115"/>
      <c r="C1" s="115"/>
      <c r="D1" s="115"/>
      <c r="E1" s="115"/>
      <c r="F1" s="115"/>
      <c r="G1" s="115"/>
      <c r="H1" s="115"/>
      <c r="I1" s="115"/>
    </row>
    <row r="2" spans="1:12" ht="27.6" customHeight="1" x14ac:dyDescent="0.3">
      <c r="A2" s="63" t="s">
        <v>49</v>
      </c>
      <c r="B2" s="64" t="s">
        <v>2</v>
      </c>
      <c r="C2" s="64" t="s">
        <v>50</v>
      </c>
      <c r="D2" s="65" t="s">
        <v>51</v>
      </c>
      <c r="E2" s="66" t="s">
        <v>52</v>
      </c>
      <c r="F2" s="66" t="s">
        <v>53</v>
      </c>
      <c r="G2" s="66" t="s">
        <v>54</v>
      </c>
      <c r="H2" s="64" t="s">
        <v>55</v>
      </c>
      <c r="I2" s="64" t="s">
        <v>56</v>
      </c>
      <c r="J2" s="81" t="s">
        <v>442</v>
      </c>
      <c r="K2" s="82" t="s">
        <v>443</v>
      </c>
      <c r="L2" s="96" t="s">
        <v>466</v>
      </c>
    </row>
    <row r="3" spans="1:12" ht="75.75" customHeight="1" x14ac:dyDescent="0.3">
      <c r="A3" s="68" t="s">
        <v>60</v>
      </c>
      <c r="B3" s="6" t="s">
        <v>61</v>
      </c>
      <c r="C3" s="6" t="s">
        <v>57</v>
      </c>
      <c r="D3" s="4">
        <v>26000000</v>
      </c>
      <c r="E3" s="5"/>
      <c r="F3" s="3" t="s">
        <v>58</v>
      </c>
      <c r="G3" s="3" t="s">
        <v>59</v>
      </c>
      <c r="H3" s="69">
        <v>45660</v>
      </c>
      <c r="I3" s="79">
        <v>45662</v>
      </c>
      <c r="J3" s="23" t="s">
        <v>446</v>
      </c>
      <c r="K3" s="84" t="s">
        <v>447</v>
      </c>
      <c r="L3" s="96"/>
    </row>
    <row r="4" spans="1:12" ht="57.6" x14ac:dyDescent="0.3">
      <c r="A4" s="68" t="s">
        <v>115</v>
      </c>
      <c r="B4" s="70" t="s">
        <v>116</v>
      </c>
      <c r="C4" s="70" t="s">
        <v>117</v>
      </c>
      <c r="D4" s="71">
        <v>2000000</v>
      </c>
      <c r="E4" s="17"/>
      <c r="F4" s="17" t="s">
        <v>58</v>
      </c>
      <c r="G4" s="17" t="s">
        <v>118</v>
      </c>
      <c r="H4" s="69">
        <v>45707</v>
      </c>
      <c r="I4" s="79">
        <v>45711</v>
      </c>
      <c r="J4" s="23" t="s">
        <v>446</v>
      </c>
      <c r="K4" s="84" t="s">
        <v>447</v>
      </c>
      <c r="L4" s="96"/>
    </row>
    <row r="5" spans="1:12" ht="28.8" x14ac:dyDescent="0.3">
      <c r="A5" s="68" t="s">
        <v>146</v>
      </c>
      <c r="B5" s="70" t="s">
        <v>149</v>
      </c>
      <c r="C5" s="72" t="s">
        <v>147</v>
      </c>
      <c r="D5" s="71">
        <v>2000000</v>
      </c>
      <c r="E5" s="17"/>
      <c r="F5" s="17" t="s">
        <v>58</v>
      </c>
      <c r="G5" s="17" t="s">
        <v>148</v>
      </c>
      <c r="H5" s="69">
        <v>45722</v>
      </c>
      <c r="I5" s="79">
        <v>45726</v>
      </c>
      <c r="J5" s="23" t="s">
        <v>446</v>
      </c>
      <c r="K5" s="84" t="s">
        <v>447</v>
      </c>
      <c r="L5" s="96"/>
    </row>
    <row r="6" spans="1:12" ht="43.2" x14ac:dyDescent="0.3">
      <c r="A6" s="68" t="s">
        <v>156</v>
      </c>
      <c r="B6" s="70" t="s">
        <v>157</v>
      </c>
      <c r="C6" s="70" t="s">
        <v>158</v>
      </c>
      <c r="D6" s="71">
        <v>2000000</v>
      </c>
      <c r="E6" s="17"/>
      <c r="F6" s="17" t="s">
        <v>58</v>
      </c>
      <c r="G6" s="17" t="s">
        <v>159</v>
      </c>
      <c r="H6" s="69">
        <v>45744</v>
      </c>
      <c r="I6" s="79">
        <v>45746</v>
      </c>
      <c r="J6" s="23" t="s">
        <v>446</v>
      </c>
      <c r="K6" s="84" t="s">
        <v>447</v>
      </c>
      <c r="L6" s="96"/>
    </row>
    <row r="7" spans="1:12" ht="57.6" x14ac:dyDescent="0.3">
      <c r="A7" s="68" t="s">
        <v>160</v>
      </c>
      <c r="B7" s="70" t="s">
        <v>167</v>
      </c>
      <c r="C7" s="70" t="s">
        <v>166</v>
      </c>
      <c r="D7" s="73">
        <v>1500000</v>
      </c>
      <c r="E7" s="17"/>
      <c r="F7" s="17" t="s">
        <v>58</v>
      </c>
      <c r="G7" s="17" t="s">
        <v>162</v>
      </c>
      <c r="H7" s="69">
        <v>45757</v>
      </c>
      <c r="I7" s="80"/>
      <c r="J7" s="23" t="s">
        <v>446</v>
      </c>
      <c r="K7" s="84" t="s">
        <v>447</v>
      </c>
      <c r="L7" s="96"/>
    </row>
    <row r="8" spans="1:12" ht="43.2" x14ac:dyDescent="0.3">
      <c r="A8" s="68" t="s">
        <v>161</v>
      </c>
      <c r="B8" s="74" t="s">
        <v>165</v>
      </c>
      <c r="C8" s="70" t="s">
        <v>164</v>
      </c>
      <c r="D8" s="73">
        <v>2000000</v>
      </c>
      <c r="E8" s="17"/>
      <c r="F8" s="17" t="s">
        <v>58</v>
      </c>
      <c r="G8" s="17" t="s">
        <v>163</v>
      </c>
      <c r="H8" s="69">
        <v>45757</v>
      </c>
      <c r="I8" s="79">
        <v>45760</v>
      </c>
      <c r="J8" s="23" t="s">
        <v>446</v>
      </c>
      <c r="K8" s="84" t="s">
        <v>447</v>
      </c>
      <c r="L8" s="96"/>
    </row>
    <row r="9" spans="1:12" ht="57.6" x14ac:dyDescent="0.3">
      <c r="A9" s="68" t="s">
        <v>168</v>
      </c>
      <c r="B9" s="70" t="s">
        <v>169</v>
      </c>
      <c r="C9" s="70" t="s">
        <v>170</v>
      </c>
      <c r="D9" s="73">
        <v>2500000</v>
      </c>
      <c r="E9" s="17"/>
      <c r="F9" s="17" t="s">
        <v>58</v>
      </c>
      <c r="G9" s="17" t="s">
        <v>178</v>
      </c>
      <c r="H9" s="17"/>
      <c r="I9" s="80"/>
      <c r="J9" s="23" t="s">
        <v>446</v>
      </c>
      <c r="K9" s="84" t="s">
        <v>447</v>
      </c>
      <c r="L9" s="96"/>
    </row>
    <row r="10" spans="1:12" ht="57.6" x14ac:dyDescent="0.3">
      <c r="A10" s="68" t="s">
        <v>193</v>
      </c>
      <c r="B10" s="70" t="s">
        <v>191</v>
      </c>
      <c r="C10" s="70" t="s">
        <v>190</v>
      </c>
      <c r="D10" s="75">
        <v>7400000</v>
      </c>
      <c r="E10" s="17"/>
      <c r="F10" s="17" t="s">
        <v>58</v>
      </c>
      <c r="G10" s="17" t="s">
        <v>192</v>
      </c>
      <c r="H10" s="69">
        <v>45793</v>
      </c>
      <c r="I10" s="79">
        <v>45795</v>
      </c>
      <c r="J10" s="23" t="s">
        <v>446</v>
      </c>
      <c r="K10" s="84" t="s">
        <v>447</v>
      </c>
      <c r="L10" s="96"/>
    </row>
    <row r="11" spans="1:12" ht="43.2" x14ac:dyDescent="0.3">
      <c r="A11" s="68" t="s">
        <v>200</v>
      </c>
      <c r="B11" s="70" t="s">
        <v>204</v>
      </c>
      <c r="C11" s="70" t="s">
        <v>201</v>
      </c>
      <c r="D11" s="73">
        <v>2000000</v>
      </c>
      <c r="E11" s="17"/>
      <c r="F11" s="17" t="s">
        <v>202</v>
      </c>
      <c r="G11" s="17" t="s">
        <v>203</v>
      </c>
      <c r="H11" s="69">
        <v>45801</v>
      </c>
      <c r="I11" s="79">
        <v>45801</v>
      </c>
      <c r="J11" s="23" t="s">
        <v>446</v>
      </c>
      <c r="K11" s="84" t="s">
        <v>447</v>
      </c>
      <c r="L11" s="96"/>
    </row>
    <row r="12" spans="1:12" ht="43.2" x14ac:dyDescent="0.3">
      <c r="A12" s="68" t="s">
        <v>214</v>
      </c>
      <c r="B12" s="70" t="s">
        <v>215</v>
      </c>
      <c r="C12" s="72" t="s">
        <v>216</v>
      </c>
      <c r="D12" s="73">
        <v>2000000</v>
      </c>
      <c r="E12" s="17"/>
      <c r="F12" s="17" t="s">
        <v>58</v>
      </c>
      <c r="G12" s="17" t="s">
        <v>217</v>
      </c>
      <c r="H12" s="69">
        <v>45827</v>
      </c>
      <c r="I12" s="79">
        <v>45829</v>
      </c>
      <c r="J12" s="23" t="s">
        <v>446</v>
      </c>
      <c r="K12" s="84" t="s">
        <v>447</v>
      </c>
      <c r="L12" s="96"/>
    </row>
    <row r="13" spans="1:12" ht="43.2" x14ac:dyDescent="0.3">
      <c r="A13" s="68" t="s">
        <v>346</v>
      </c>
      <c r="B13" s="76" t="s">
        <v>223</v>
      </c>
      <c r="C13" s="70" t="s">
        <v>224</v>
      </c>
      <c r="D13" s="73">
        <v>3000000</v>
      </c>
      <c r="E13" s="17"/>
      <c r="F13" s="17" t="s">
        <v>225</v>
      </c>
      <c r="G13" s="17" t="s">
        <v>226</v>
      </c>
      <c r="H13" s="69">
        <v>45834</v>
      </c>
      <c r="I13" s="79">
        <v>45837</v>
      </c>
      <c r="J13" s="23" t="s">
        <v>446</v>
      </c>
      <c r="K13" s="84" t="s">
        <v>447</v>
      </c>
      <c r="L13" s="96"/>
    </row>
    <row r="14" spans="1:12" ht="72" x14ac:dyDescent="0.3">
      <c r="A14" s="68" t="s">
        <v>227</v>
      </c>
      <c r="B14" s="70" t="s">
        <v>229</v>
      </c>
      <c r="C14" s="70" t="s">
        <v>228</v>
      </c>
      <c r="D14" s="73">
        <v>5000000</v>
      </c>
      <c r="E14" s="17"/>
      <c r="F14" s="17" t="s">
        <v>58</v>
      </c>
      <c r="G14" s="17" t="s">
        <v>59</v>
      </c>
      <c r="H14" s="69">
        <v>45835</v>
      </c>
      <c r="I14" s="79">
        <v>45836</v>
      </c>
      <c r="J14" s="23" t="s">
        <v>446</v>
      </c>
      <c r="K14" s="84" t="s">
        <v>447</v>
      </c>
      <c r="L14" s="96"/>
    </row>
    <row r="15" spans="1:12" ht="57.6" x14ac:dyDescent="0.3">
      <c r="A15" s="68" t="s">
        <v>239</v>
      </c>
      <c r="B15" s="70" t="s">
        <v>241</v>
      </c>
      <c r="C15" s="70" t="s">
        <v>240</v>
      </c>
      <c r="D15" s="73">
        <v>3890000</v>
      </c>
      <c r="E15" s="17"/>
      <c r="F15" s="17" t="s">
        <v>58</v>
      </c>
      <c r="G15" s="22" t="s">
        <v>242</v>
      </c>
      <c r="H15" s="69">
        <v>45856</v>
      </c>
      <c r="I15" s="79">
        <v>45858</v>
      </c>
      <c r="J15" s="23" t="s">
        <v>446</v>
      </c>
      <c r="K15" s="84" t="s">
        <v>447</v>
      </c>
      <c r="L15" s="96"/>
    </row>
    <row r="16" spans="1:12" ht="28.8" x14ac:dyDescent="0.3">
      <c r="A16" s="68" t="s">
        <v>243</v>
      </c>
      <c r="B16" s="70" t="s">
        <v>244</v>
      </c>
      <c r="C16" s="72" t="s">
        <v>245</v>
      </c>
      <c r="D16" s="73">
        <v>2000000</v>
      </c>
      <c r="E16" s="17"/>
      <c r="F16" s="17" t="s">
        <v>58</v>
      </c>
      <c r="G16" s="17" t="s">
        <v>246</v>
      </c>
      <c r="H16" s="69">
        <v>45856</v>
      </c>
      <c r="I16" s="79">
        <v>45858</v>
      </c>
      <c r="J16" s="23" t="s">
        <v>446</v>
      </c>
      <c r="K16" s="84" t="s">
        <v>447</v>
      </c>
      <c r="L16" s="96"/>
    </row>
    <row r="17" spans="1:12" ht="43.2" x14ac:dyDescent="0.3">
      <c r="A17" s="77" t="s">
        <v>251</v>
      </c>
      <c r="B17" s="70" t="s">
        <v>252</v>
      </c>
      <c r="C17" s="70" t="s">
        <v>253</v>
      </c>
      <c r="D17" s="73">
        <v>5000000</v>
      </c>
      <c r="E17" s="17"/>
      <c r="F17" s="17" t="s">
        <v>58</v>
      </c>
      <c r="G17" s="17" t="s">
        <v>254</v>
      </c>
      <c r="H17" s="69">
        <v>45863</v>
      </c>
      <c r="I17" s="79">
        <v>45864</v>
      </c>
      <c r="J17" s="23" t="s">
        <v>446</v>
      </c>
      <c r="K17" s="84" t="s">
        <v>447</v>
      </c>
      <c r="L17" s="96"/>
    </row>
    <row r="18" spans="1:12" ht="57.6" x14ac:dyDescent="0.3">
      <c r="A18" s="68" t="s">
        <v>255</v>
      </c>
      <c r="B18" s="70" t="s">
        <v>256</v>
      </c>
      <c r="C18" s="70" t="s">
        <v>257</v>
      </c>
      <c r="D18" s="73">
        <v>4500000</v>
      </c>
      <c r="E18" s="17"/>
      <c r="F18" s="17" t="s">
        <v>58</v>
      </c>
      <c r="G18" s="17" t="s">
        <v>246</v>
      </c>
      <c r="H18" s="69">
        <v>45874</v>
      </c>
      <c r="I18" s="79">
        <v>45879</v>
      </c>
      <c r="J18" s="23" t="s">
        <v>446</v>
      </c>
      <c r="K18" s="84" t="s">
        <v>447</v>
      </c>
      <c r="L18" s="96"/>
    </row>
    <row r="19" spans="1:12" ht="43.2" x14ac:dyDescent="0.3">
      <c r="A19" s="68" t="s">
        <v>263</v>
      </c>
      <c r="B19" s="70" t="s">
        <v>265</v>
      </c>
      <c r="C19" s="70" t="s">
        <v>266</v>
      </c>
      <c r="D19" s="71">
        <v>3000000</v>
      </c>
      <c r="E19" s="17"/>
      <c r="F19" s="17" t="s">
        <v>58</v>
      </c>
      <c r="G19" s="22" t="s">
        <v>267</v>
      </c>
      <c r="H19" s="69">
        <v>45883</v>
      </c>
      <c r="I19" s="79">
        <v>45884</v>
      </c>
      <c r="J19" s="23" t="s">
        <v>446</v>
      </c>
      <c r="K19" s="84" t="s">
        <v>447</v>
      </c>
      <c r="L19" s="96"/>
    </row>
    <row r="20" spans="1:12" ht="43.2" x14ac:dyDescent="0.3">
      <c r="A20" s="68" t="s">
        <v>264</v>
      </c>
      <c r="B20" s="70" t="s">
        <v>279</v>
      </c>
      <c r="C20" s="70" t="s">
        <v>278</v>
      </c>
      <c r="D20" s="73">
        <v>2500000</v>
      </c>
      <c r="E20" s="17"/>
      <c r="F20" s="17" t="s">
        <v>58</v>
      </c>
      <c r="G20" s="17" t="s">
        <v>246</v>
      </c>
      <c r="H20" s="69">
        <v>45884</v>
      </c>
      <c r="I20" s="79">
        <v>45887</v>
      </c>
      <c r="J20" s="23" t="s">
        <v>446</v>
      </c>
      <c r="K20" s="84" t="s">
        <v>447</v>
      </c>
      <c r="L20" s="96"/>
    </row>
    <row r="21" spans="1:12" ht="72" x14ac:dyDescent="0.3">
      <c r="A21" s="68" t="s">
        <v>274</v>
      </c>
      <c r="B21" s="70" t="s">
        <v>277</v>
      </c>
      <c r="C21" s="70" t="s">
        <v>275</v>
      </c>
      <c r="D21" s="73">
        <v>3000000</v>
      </c>
      <c r="E21" s="17"/>
      <c r="F21" s="17" t="s">
        <v>225</v>
      </c>
      <c r="G21" s="22" t="s">
        <v>276</v>
      </c>
      <c r="H21" s="69">
        <v>45884</v>
      </c>
      <c r="I21" s="79">
        <v>45886</v>
      </c>
      <c r="J21" s="23" t="s">
        <v>446</v>
      </c>
      <c r="K21" s="84" t="s">
        <v>447</v>
      </c>
      <c r="L21" s="96"/>
    </row>
    <row r="22" spans="1:12" ht="57.6" x14ac:dyDescent="0.3">
      <c r="A22" s="68" t="s">
        <v>283</v>
      </c>
      <c r="B22" s="70" t="s">
        <v>284</v>
      </c>
      <c r="C22" s="70" t="s">
        <v>170</v>
      </c>
      <c r="D22" s="73">
        <v>3000000</v>
      </c>
      <c r="E22" s="17"/>
      <c r="F22" s="17" t="s">
        <v>58</v>
      </c>
      <c r="G22" s="17" t="s">
        <v>178</v>
      </c>
      <c r="H22" s="69">
        <v>45891</v>
      </c>
      <c r="I22" s="79">
        <v>45892</v>
      </c>
      <c r="J22" s="23" t="s">
        <v>446</v>
      </c>
      <c r="K22" s="84" t="s">
        <v>447</v>
      </c>
      <c r="L22" s="96"/>
    </row>
    <row r="23" spans="1:12" ht="43.2" x14ac:dyDescent="0.3">
      <c r="A23" s="68" t="s">
        <v>288</v>
      </c>
      <c r="B23" s="70" t="s">
        <v>290</v>
      </c>
      <c r="C23" s="70" t="s">
        <v>289</v>
      </c>
      <c r="D23" s="73">
        <v>2500000</v>
      </c>
      <c r="E23" s="17"/>
      <c r="F23" s="17" t="s">
        <v>58</v>
      </c>
      <c r="G23" s="17" t="s">
        <v>246</v>
      </c>
      <c r="H23" s="69">
        <v>45897</v>
      </c>
      <c r="I23" s="79">
        <v>45899</v>
      </c>
      <c r="J23" s="23" t="s">
        <v>446</v>
      </c>
      <c r="K23" s="84" t="s">
        <v>447</v>
      </c>
      <c r="L23" s="96"/>
    </row>
    <row r="24" spans="1:12" ht="57.6" x14ac:dyDescent="0.3">
      <c r="A24" s="68" t="s">
        <v>291</v>
      </c>
      <c r="B24" s="70" t="s">
        <v>294</v>
      </c>
      <c r="C24" s="70" t="s">
        <v>293</v>
      </c>
      <c r="D24" s="73">
        <v>5000000</v>
      </c>
      <c r="E24" s="17"/>
      <c r="F24" s="17" t="s">
        <v>58</v>
      </c>
      <c r="G24" s="17" t="s">
        <v>192</v>
      </c>
      <c r="H24" s="69">
        <v>45898</v>
      </c>
      <c r="I24" s="79">
        <v>45900</v>
      </c>
      <c r="J24" s="23" t="s">
        <v>446</v>
      </c>
      <c r="K24" s="84" t="s">
        <v>447</v>
      </c>
      <c r="L24" s="96"/>
    </row>
    <row r="25" spans="1:12" ht="43.2" x14ac:dyDescent="0.3">
      <c r="A25" s="68" t="s">
        <v>292</v>
      </c>
      <c r="B25" s="70" t="s">
        <v>296</v>
      </c>
      <c r="C25" s="70" t="s">
        <v>295</v>
      </c>
      <c r="D25" s="73">
        <v>6000000</v>
      </c>
      <c r="E25" s="17"/>
      <c r="F25" s="17" t="s">
        <v>225</v>
      </c>
      <c r="G25" s="17" t="s">
        <v>297</v>
      </c>
      <c r="H25" s="69">
        <v>45898</v>
      </c>
      <c r="I25" s="79">
        <v>45899</v>
      </c>
      <c r="J25" s="23" t="s">
        <v>446</v>
      </c>
      <c r="K25" s="84" t="s">
        <v>447</v>
      </c>
      <c r="L25" s="96"/>
    </row>
    <row r="26" spans="1:12" ht="100.8" x14ac:dyDescent="0.3">
      <c r="A26" s="68" t="s">
        <v>305</v>
      </c>
      <c r="B26" s="70" t="s">
        <v>306</v>
      </c>
      <c r="C26" s="72" t="s">
        <v>307</v>
      </c>
      <c r="D26" s="71">
        <v>50010000</v>
      </c>
      <c r="E26" s="17"/>
      <c r="F26" s="17" t="s">
        <v>58</v>
      </c>
      <c r="G26" s="17" t="s">
        <v>238</v>
      </c>
      <c r="H26" s="69">
        <v>45901</v>
      </c>
      <c r="I26" s="79">
        <v>45991</v>
      </c>
      <c r="J26" s="23" t="s">
        <v>446</v>
      </c>
      <c r="K26" s="83" t="s">
        <v>464</v>
      </c>
      <c r="L26" s="96"/>
    </row>
    <row r="27" spans="1:12" ht="100.8" x14ac:dyDescent="0.3">
      <c r="A27" s="68" t="s">
        <v>308</v>
      </c>
      <c r="B27" s="70" t="s">
        <v>313</v>
      </c>
      <c r="C27" s="70" t="s">
        <v>314</v>
      </c>
      <c r="D27" s="71">
        <v>60000000</v>
      </c>
      <c r="E27" s="17"/>
      <c r="F27" s="17" t="s">
        <v>58</v>
      </c>
      <c r="G27" s="17" t="s">
        <v>246</v>
      </c>
      <c r="H27" s="69">
        <v>45901</v>
      </c>
      <c r="I27" s="79">
        <v>45991</v>
      </c>
      <c r="J27" s="23" t="s">
        <v>446</v>
      </c>
      <c r="K27" s="83" t="s">
        <v>464</v>
      </c>
      <c r="L27" s="96"/>
    </row>
    <row r="28" spans="1:12" ht="57.6" x14ac:dyDescent="0.3">
      <c r="A28" s="68" t="s">
        <v>312</v>
      </c>
      <c r="B28" s="70" t="s">
        <v>309</v>
      </c>
      <c r="C28" s="72" t="s">
        <v>310</v>
      </c>
      <c r="D28" s="71">
        <v>3500000</v>
      </c>
      <c r="E28" s="17"/>
      <c r="F28" s="17" t="s">
        <v>225</v>
      </c>
      <c r="G28" s="17" t="s">
        <v>311</v>
      </c>
      <c r="H28" s="69">
        <v>45905</v>
      </c>
      <c r="I28" s="79">
        <v>45907</v>
      </c>
      <c r="J28" s="23" t="s">
        <v>446</v>
      </c>
      <c r="K28" s="84" t="s">
        <v>447</v>
      </c>
      <c r="L28" s="96"/>
    </row>
    <row r="29" spans="1:12" ht="72" x14ac:dyDescent="0.3">
      <c r="A29" s="68" t="s">
        <v>321</v>
      </c>
      <c r="B29" s="70" t="s">
        <v>322</v>
      </c>
      <c r="C29" s="70" t="s">
        <v>323</v>
      </c>
      <c r="D29" s="71">
        <v>2500000</v>
      </c>
      <c r="E29" s="17"/>
      <c r="F29" s="17" t="s">
        <v>225</v>
      </c>
      <c r="G29" s="17" t="s">
        <v>324</v>
      </c>
      <c r="H29" s="69">
        <v>45919</v>
      </c>
      <c r="I29" s="79">
        <v>45921</v>
      </c>
      <c r="J29" s="23" t="s">
        <v>446</v>
      </c>
      <c r="K29" s="84" t="s">
        <v>447</v>
      </c>
      <c r="L29" s="96"/>
    </row>
    <row r="30" spans="1:12" ht="43.2" x14ac:dyDescent="0.3">
      <c r="A30" s="68" t="s">
        <v>328</v>
      </c>
      <c r="B30" s="70" t="s">
        <v>330</v>
      </c>
      <c r="C30" s="72" t="s">
        <v>329</v>
      </c>
      <c r="D30" s="71">
        <v>10000000</v>
      </c>
      <c r="E30" s="17"/>
      <c r="F30" s="17" t="s">
        <v>58</v>
      </c>
      <c r="G30" s="17" t="s">
        <v>246</v>
      </c>
      <c r="H30" s="17"/>
      <c r="I30" s="80"/>
      <c r="J30" s="23" t="s">
        <v>446</v>
      </c>
      <c r="K30" s="84" t="s">
        <v>447</v>
      </c>
      <c r="L30" s="96"/>
    </row>
    <row r="31" spans="1:12" ht="43.2" x14ac:dyDescent="0.3">
      <c r="A31" s="68" t="s">
        <v>348</v>
      </c>
      <c r="B31" s="70" t="s">
        <v>349</v>
      </c>
      <c r="C31" s="70" t="s">
        <v>351</v>
      </c>
      <c r="D31" s="73">
        <v>20000000</v>
      </c>
      <c r="E31" s="17"/>
      <c r="F31" s="17" t="s">
        <v>58</v>
      </c>
      <c r="G31" s="17" t="s">
        <v>350</v>
      </c>
      <c r="H31" s="69">
        <v>45940</v>
      </c>
      <c r="I31" s="79">
        <v>45942</v>
      </c>
      <c r="J31" s="23" t="s">
        <v>446</v>
      </c>
      <c r="K31" s="84" t="s">
        <v>447</v>
      </c>
      <c r="L31" s="96"/>
    </row>
    <row r="32" spans="1:12" ht="72" x14ac:dyDescent="0.3">
      <c r="A32" s="68" t="s">
        <v>357</v>
      </c>
      <c r="B32" s="70" t="s">
        <v>361</v>
      </c>
      <c r="C32" s="70" t="s">
        <v>359</v>
      </c>
      <c r="D32" s="73">
        <v>10000000</v>
      </c>
      <c r="E32" s="17"/>
      <c r="F32" s="17" t="s">
        <v>58</v>
      </c>
      <c r="G32" s="22" t="s">
        <v>360</v>
      </c>
      <c r="H32" s="69">
        <v>45946</v>
      </c>
      <c r="I32" s="79">
        <v>45948</v>
      </c>
      <c r="J32" s="23" t="s">
        <v>446</v>
      </c>
      <c r="K32" s="84" t="s">
        <v>447</v>
      </c>
      <c r="L32" s="96"/>
    </row>
    <row r="33" spans="1:12" ht="43.2" x14ac:dyDescent="0.3">
      <c r="A33" s="68" t="s">
        <v>358</v>
      </c>
      <c r="B33" s="70" t="s">
        <v>356</v>
      </c>
      <c r="C33" s="72" t="s">
        <v>355</v>
      </c>
      <c r="D33" s="71">
        <v>20000000</v>
      </c>
      <c r="E33" s="17"/>
      <c r="F33" s="17" t="s">
        <v>58</v>
      </c>
      <c r="G33" s="17" t="s">
        <v>246</v>
      </c>
      <c r="H33" s="69">
        <v>45946</v>
      </c>
      <c r="I33" s="79">
        <v>45947</v>
      </c>
      <c r="J33" s="23" t="s">
        <v>446</v>
      </c>
      <c r="K33" s="84" t="s">
        <v>447</v>
      </c>
      <c r="L33" s="96"/>
    </row>
    <row r="34" spans="1:12" ht="57.6" x14ac:dyDescent="0.3">
      <c r="A34" s="68" t="s">
        <v>365</v>
      </c>
      <c r="B34" s="70" t="s">
        <v>367</v>
      </c>
      <c r="C34" s="70" t="s">
        <v>366</v>
      </c>
      <c r="D34" s="73">
        <v>3500000</v>
      </c>
      <c r="E34" s="17"/>
      <c r="F34" s="17" t="s">
        <v>58</v>
      </c>
      <c r="G34" s="17" t="s">
        <v>368</v>
      </c>
      <c r="H34" s="69">
        <v>45951</v>
      </c>
      <c r="I34" s="79">
        <v>45953</v>
      </c>
      <c r="J34" s="23" t="s">
        <v>446</v>
      </c>
      <c r="K34" s="84" t="s">
        <v>447</v>
      </c>
      <c r="L34" s="96"/>
    </row>
    <row r="35" spans="1:12" ht="43.2" x14ac:dyDescent="0.3">
      <c r="A35" s="68" t="s">
        <v>372</v>
      </c>
      <c r="B35" s="70" t="s">
        <v>386</v>
      </c>
      <c r="C35" s="72" t="s">
        <v>373</v>
      </c>
      <c r="D35" s="73">
        <v>60000000</v>
      </c>
      <c r="E35" s="17"/>
      <c r="F35" s="17" t="s">
        <v>58</v>
      </c>
      <c r="G35" s="17" t="s">
        <v>246</v>
      </c>
      <c r="H35" s="69">
        <v>45959</v>
      </c>
      <c r="I35" s="79">
        <v>45963</v>
      </c>
      <c r="J35" s="23" t="s">
        <v>446</v>
      </c>
      <c r="K35" s="84" t="s">
        <v>447</v>
      </c>
      <c r="L35" s="96"/>
    </row>
    <row r="36" spans="1:12" ht="57.6" x14ac:dyDescent="0.3">
      <c r="A36" s="68" t="s">
        <v>374</v>
      </c>
      <c r="B36" s="70" t="s">
        <v>379</v>
      </c>
      <c r="C36" s="70" t="s">
        <v>375</v>
      </c>
      <c r="D36" s="73">
        <v>5000000</v>
      </c>
      <c r="E36" s="17"/>
      <c r="F36" s="17" t="s">
        <v>58</v>
      </c>
      <c r="G36" s="22" t="s">
        <v>376</v>
      </c>
      <c r="H36" s="69">
        <v>45961</v>
      </c>
      <c r="I36" s="79">
        <v>45963</v>
      </c>
      <c r="J36" s="23" t="s">
        <v>446</v>
      </c>
      <c r="K36" s="84" t="s">
        <v>447</v>
      </c>
      <c r="L36" s="96"/>
    </row>
    <row r="37" spans="1:12" ht="43.2" x14ac:dyDescent="0.3">
      <c r="A37" s="68" t="s">
        <v>377</v>
      </c>
      <c r="B37" s="70" t="s">
        <v>382</v>
      </c>
      <c r="C37" s="70" t="s">
        <v>381</v>
      </c>
      <c r="D37" s="71">
        <v>15000000</v>
      </c>
      <c r="E37" s="17"/>
      <c r="F37" s="17" t="s">
        <v>58</v>
      </c>
      <c r="G37" s="17" t="s">
        <v>384</v>
      </c>
      <c r="H37" s="69">
        <v>45961</v>
      </c>
      <c r="I37" s="79">
        <v>45963</v>
      </c>
      <c r="J37" s="23" t="s">
        <v>446</v>
      </c>
      <c r="K37" s="84" t="s">
        <v>447</v>
      </c>
      <c r="L37" s="96"/>
    </row>
    <row r="38" spans="1:12" ht="43.2" x14ac:dyDescent="0.3">
      <c r="A38" s="68" t="s">
        <v>378</v>
      </c>
      <c r="B38" s="70" t="s">
        <v>385</v>
      </c>
      <c r="C38" s="70" t="s">
        <v>380</v>
      </c>
      <c r="D38" s="71">
        <v>7000000</v>
      </c>
      <c r="E38" s="17"/>
      <c r="F38" s="17" t="s">
        <v>58</v>
      </c>
      <c r="G38" s="17" t="s">
        <v>383</v>
      </c>
      <c r="H38" s="69">
        <v>45961</v>
      </c>
      <c r="I38" s="79">
        <v>45963</v>
      </c>
      <c r="J38" s="23" t="s">
        <v>446</v>
      </c>
      <c r="K38" s="84" t="s">
        <v>447</v>
      </c>
      <c r="L38" s="96"/>
    </row>
    <row r="39" spans="1:12" ht="43.2" x14ac:dyDescent="0.3">
      <c r="A39" s="68" t="s">
        <v>387</v>
      </c>
      <c r="B39" s="70" t="s">
        <v>388</v>
      </c>
      <c r="C39" s="70" t="s">
        <v>389</v>
      </c>
      <c r="D39" s="71">
        <v>2000000</v>
      </c>
      <c r="E39" s="17"/>
      <c r="F39" s="17" t="s">
        <v>58</v>
      </c>
      <c r="G39" s="17" t="s">
        <v>390</v>
      </c>
      <c r="H39" s="69">
        <v>45961</v>
      </c>
      <c r="I39" s="79">
        <v>45962</v>
      </c>
      <c r="J39" s="23" t="s">
        <v>446</v>
      </c>
      <c r="K39" s="84" t="s">
        <v>447</v>
      </c>
      <c r="L39" s="96"/>
    </row>
    <row r="40" spans="1:12" ht="57.6" x14ac:dyDescent="0.3">
      <c r="A40" s="68" t="s">
        <v>399</v>
      </c>
      <c r="B40" s="70" t="s">
        <v>402</v>
      </c>
      <c r="C40" s="70" t="s">
        <v>400</v>
      </c>
      <c r="D40" s="73">
        <v>4000000</v>
      </c>
      <c r="E40" s="17"/>
      <c r="F40" s="17" t="s">
        <v>58</v>
      </c>
      <c r="G40" s="22" t="s">
        <v>401</v>
      </c>
      <c r="H40" s="69">
        <v>45975</v>
      </c>
      <c r="I40" s="79">
        <v>45976</v>
      </c>
      <c r="J40" s="23" t="s">
        <v>446</v>
      </c>
      <c r="K40" s="84" t="s">
        <v>447</v>
      </c>
      <c r="L40" s="96"/>
    </row>
    <row r="41" spans="1:12" ht="43.2" x14ac:dyDescent="0.3">
      <c r="A41" s="68" t="s">
        <v>409</v>
      </c>
      <c r="B41" s="70" t="s">
        <v>411</v>
      </c>
      <c r="C41" s="70" t="s">
        <v>410</v>
      </c>
      <c r="D41" s="73">
        <v>6700000</v>
      </c>
      <c r="E41" s="17"/>
      <c r="F41" s="17" t="s">
        <v>58</v>
      </c>
      <c r="G41" s="17" t="s">
        <v>246</v>
      </c>
      <c r="H41" s="69">
        <v>45988</v>
      </c>
      <c r="I41" s="79">
        <v>45989</v>
      </c>
      <c r="J41" s="23" t="s">
        <v>446</v>
      </c>
      <c r="K41" s="84" t="s">
        <v>447</v>
      </c>
      <c r="L41" s="96"/>
    </row>
    <row r="42" spans="1:12" ht="57.6" x14ac:dyDescent="0.3">
      <c r="A42" s="78" t="s">
        <v>422</v>
      </c>
      <c r="B42" s="22" t="s">
        <v>423</v>
      </c>
      <c r="C42" s="22" t="s">
        <v>424</v>
      </c>
      <c r="D42" s="73">
        <v>10000000</v>
      </c>
      <c r="E42" s="17"/>
      <c r="F42" s="17" t="s">
        <v>58</v>
      </c>
      <c r="G42" s="17" t="s">
        <v>246</v>
      </c>
      <c r="H42" s="69">
        <v>46002</v>
      </c>
      <c r="I42" s="79">
        <v>46003</v>
      </c>
      <c r="J42" s="23" t="s">
        <v>446</v>
      </c>
      <c r="K42" s="84" t="s">
        <v>447</v>
      </c>
      <c r="L42" s="96"/>
    </row>
    <row r="43" spans="1:12" ht="43.2" x14ac:dyDescent="0.3">
      <c r="A43" s="78" t="s">
        <v>425</v>
      </c>
      <c r="B43" s="22" t="s">
        <v>427</v>
      </c>
      <c r="C43" s="8" t="s">
        <v>426</v>
      </c>
      <c r="D43" s="73">
        <v>10600000</v>
      </c>
      <c r="E43" s="17"/>
      <c r="F43" s="17" t="s">
        <v>58</v>
      </c>
      <c r="G43" s="17" t="s">
        <v>390</v>
      </c>
      <c r="H43" s="69">
        <v>46008</v>
      </c>
      <c r="I43" s="79">
        <v>46012</v>
      </c>
      <c r="J43" s="23" t="s">
        <v>446</v>
      </c>
      <c r="K43" s="84" t="s">
        <v>447</v>
      </c>
      <c r="L43" s="96"/>
    </row>
    <row r="44" spans="1:12" ht="43.2" x14ac:dyDescent="0.3">
      <c r="A44" s="78" t="s">
        <v>428</v>
      </c>
      <c r="B44" s="22" t="s">
        <v>429</v>
      </c>
      <c r="C44" s="22" t="s">
        <v>430</v>
      </c>
      <c r="D44" s="73">
        <v>6000000</v>
      </c>
      <c r="E44" s="17"/>
      <c r="F44" s="17" t="s">
        <v>58</v>
      </c>
      <c r="G44" s="17" t="s">
        <v>431</v>
      </c>
      <c r="H44" s="69">
        <v>46010</v>
      </c>
      <c r="I44" s="79">
        <v>46012</v>
      </c>
      <c r="J44" s="23" t="s">
        <v>446</v>
      </c>
      <c r="K44" s="84" t="s">
        <v>447</v>
      </c>
      <c r="L44" s="96"/>
    </row>
    <row r="45" spans="1:12" ht="57.6" x14ac:dyDescent="0.3">
      <c r="A45" s="78" t="s">
        <v>432</v>
      </c>
      <c r="B45" s="22" t="s">
        <v>433</v>
      </c>
      <c r="C45" s="17" t="s">
        <v>434</v>
      </c>
      <c r="D45" s="73">
        <v>3000000</v>
      </c>
      <c r="E45" s="17"/>
      <c r="F45" s="17" t="s">
        <v>58</v>
      </c>
      <c r="G45" s="17" t="s">
        <v>435</v>
      </c>
      <c r="H45" s="69">
        <v>46014</v>
      </c>
      <c r="I45" s="79">
        <v>46014</v>
      </c>
      <c r="J45" s="23" t="s">
        <v>446</v>
      </c>
      <c r="K45" s="84" t="s">
        <v>447</v>
      </c>
      <c r="L45" s="96"/>
    </row>
    <row r="53" spans="2:2" x14ac:dyDescent="0.3">
      <c r="B53" t="s">
        <v>268</v>
      </c>
    </row>
  </sheetData>
  <mergeCells count="1">
    <mergeCell ref="A1:I1"/>
  </mergeCells>
  <pageMargins left="0.7" right="0.7" top="0.75" bottom="0.75" header="0.3" footer="0.3"/>
  <pageSetup scale="52" fitToHeight="0" orientation="landscape" horizontalDpi="0" verticalDpi="0" r:id="rId1"/>
  <rowBreaks count="1" manualBreakCount="1">
    <brk id="28" max="16383" man="1"/>
  </row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AE30-F4F6-4294-B2AF-3926631493F8}">
  <sheetPr>
    <pageSetUpPr fitToPage="1"/>
  </sheetPr>
  <dimension ref="B2:M5"/>
  <sheetViews>
    <sheetView zoomScale="115" zoomScaleNormal="115" workbookViewId="0">
      <selection activeCell="C5" sqref="C5"/>
    </sheetView>
  </sheetViews>
  <sheetFormatPr baseColWidth="10" defaultRowHeight="14.4" x14ac:dyDescent="0.3"/>
  <cols>
    <col min="2" max="2" width="18.44140625" customWidth="1"/>
    <col min="3" max="3" width="34.44140625" customWidth="1"/>
    <col min="4" max="4" width="35.44140625" customWidth="1"/>
    <col min="5" max="6" width="26.44140625" customWidth="1"/>
    <col min="7" max="7" width="23.88671875" customWidth="1"/>
    <col min="8" max="8" width="20.33203125" customWidth="1"/>
    <col min="9" max="9" width="18.77734375" customWidth="1"/>
    <col min="10" max="10" width="25.77734375" customWidth="1"/>
    <col min="11" max="12" width="17.33203125" customWidth="1"/>
  </cols>
  <sheetData>
    <row r="2" spans="2:13" ht="29.4" customHeight="1" x14ac:dyDescent="0.3">
      <c r="B2" s="88" t="s">
        <v>49</v>
      </c>
      <c r="C2" s="89" t="s">
        <v>2</v>
      </c>
      <c r="D2" s="89" t="s">
        <v>50</v>
      </c>
      <c r="E2" s="90" t="s">
        <v>51</v>
      </c>
      <c r="F2" s="89" t="s">
        <v>52</v>
      </c>
      <c r="G2" s="89" t="s">
        <v>53</v>
      </c>
      <c r="H2" s="89" t="s">
        <v>54</v>
      </c>
      <c r="I2" s="89" t="s">
        <v>55</v>
      </c>
      <c r="J2" s="89" t="s">
        <v>56</v>
      </c>
      <c r="K2" s="97" t="s">
        <v>442</v>
      </c>
      <c r="L2" s="98" t="s">
        <v>443</v>
      </c>
      <c r="M2" s="98" t="s">
        <v>466</v>
      </c>
    </row>
    <row r="3" spans="2:13" ht="135" customHeight="1" x14ac:dyDescent="0.3">
      <c r="B3" s="91" t="s">
        <v>231</v>
      </c>
      <c r="C3" s="7" t="s">
        <v>232</v>
      </c>
      <c r="D3" s="7" t="s">
        <v>233</v>
      </c>
      <c r="E3" s="92">
        <v>15000000</v>
      </c>
      <c r="F3" s="86"/>
      <c r="G3" s="86" t="s">
        <v>58</v>
      </c>
      <c r="H3" s="86" t="s">
        <v>234</v>
      </c>
      <c r="I3" s="93">
        <v>45490</v>
      </c>
      <c r="J3" s="93">
        <v>45494</v>
      </c>
      <c r="K3" s="24" t="s">
        <v>446</v>
      </c>
      <c r="L3" s="99" t="s">
        <v>447</v>
      </c>
      <c r="M3" s="22"/>
    </row>
    <row r="4" spans="2:13" ht="92.4" x14ac:dyDescent="0.3">
      <c r="B4" s="91" t="s">
        <v>235</v>
      </c>
      <c r="C4" s="7" t="s">
        <v>236</v>
      </c>
      <c r="D4" s="7" t="s">
        <v>237</v>
      </c>
      <c r="E4" s="94">
        <v>50000000</v>
      </c>
      <c r="F4" s="85"/>
      <c r="G4" s="86" t="s">
        <v>58</v>
      </c>
      <c r="H4" s="86" t="s">
        <v>238</v>
      </c>
      <c r="I4" s="93">
        <v>45853</v>
      </c>
      <c r="J4" s="93">
        <v>45859</v>
      </c>
      <c r="K4" s="24" t="s">
        <v>446</v>
      </c>
      <c r="L4" s="100" t="s">
        <v>454</v>
      </c>
      <c r="M4" s="22"/>
    </row>
    <row r="5" spans="2:13" ht="105.6" x14ac:dyDescent="0.3">
      <c r="B5" s="87" t="s">
        <v>394</v>
      </c>
      <c r="C5" s="85" t="s">
        <v>465</v>
      </c>
      <c r="D5" s="86" t="s">
        <v>393</v>
      </c>
      <c r="E5" s="95">
        <v>595600824</v>
      </c>
      <c r="F5" s="85"/>
      <c r="G5" s="86" t="s">
        <v>58</v>
      </c>
      <c r="H5" s="85"/>
      <c r="I5" s="85"/>
      <c r="J5" s="85"/>
      <c r="K5" s="24" t="s">
        <v>446</v>
      </c>
      <c r="L5" s="23" t="s">
        <v>445</v>
      </c>
      <c r="M5" s="22"/>
    </row>
  </sheetData>
  <pageMargins left="0.7" right="0.7" top="0.75" bottom="0.75" header="0.3" footer="0.3"/>
  <pageSetup scale="53" fitToHeight="0" orientation="landscape"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CONTRATOS 2025</vt:lpstr>
      <vt:lpstr>METAS-FUENTES-VALOR</vt:lpstr>
      <vt:lpstr>CONVENIOS 2025</vt:lpstr>
      <vt:lpstr>CONVENIOS INTER ADMI</vt:lpstr>
      <vt:lpstr>'CONVENIOS 2025'!_Hlk180052079</vt:lpstr>
      <vt:lpstr>'CONTRATOS 2025'!_Hlk185319858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PC</dc:creator>
  <cp:lastModifiedBy>Indicadores</cp:lastModifiedBy>
  <cp:lastPrinted>2025-12-19T14:54:30Z</cp:lastPrinted>
  <dcterms:created xsi:type="dcterms:W3CDTF">2025-01-02T13:50:56Z</dcterms:created>
  <dcterms:modified xsi:type="dcterms:W3CDTF">2026-04-24T17:50:36Z</dcterms:modified>
</cp:coreProperties>
</file>